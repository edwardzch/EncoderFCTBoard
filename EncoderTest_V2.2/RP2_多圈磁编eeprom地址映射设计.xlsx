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1"/>
  </bookViews>
  <sheets>
    <sheet name="eeprom区域划分映射" sheetId="1" r:id="rId1"/>
    <sheet name="详细映射关系" sheetId="2" r:id="rId2"/>
    <sheet name="eeprom操作指令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<sst xmlns="http://schemas.openxmlformats.org/spreadsheetml/2006/main" count="312" uniqueCount="131">
  <si>
    <t>eeprom map</t>
  </si>
  <si>
    <t>Page[dec]</t>
  </si>
  <si>
    <t>Address[hex]</t>
  </si>
  <si>
    <t>Remarks</t>
  </si>
  <si>
    <t>0-1</t>
  </si>
  <si>
    <t>0x00 - 0x7E</t>
  </si>
  <si>
    <t>用户区域</t>
  </si>
  <si>
    <t>page Selection</t>
  </si>
  <si>
    <t>0x7F</t>
  </si>
  <si>
    <t>编码器参数区域</t>
  </si>
  <si>
    <t>编码器输出信息区域</t>
  </si>
  <si>
    <t>4-11</t>
  </si>
  <si>
    <t>编码器校准数据存储区域</t>
  </si>
  <si>
    <t>13-15（保留）</t>
  </si>
  <si>
    <t>16-31（多摩川协议2-17）</t>
  </si>
  <si>
    <t>Address</t>
  </si>
  <si>
    <t>Bit</t>
  </si>
  <si>
    <t>Default[hex]</t>
  </si>
  <si>
    <t>地址是否对齐</t>
  </si>
  <si>
    <t>[dec]</t>
  </si>
  <si>
    <t>[hex]</t>
  </si>
  <si>
    <t xml:space="preserve">2(读写)
</t>
  </si>
  <si>
    <t>校准成功</t>
  </si>
  <si>
    <t>校准过</t>
  </si>
  <si>
    <t>FCT完成</t>
  </si>
  <si>
    <t>0x00</t>
  </si>
  <si>
    <t>单圈调零使能</t>
  </si>
  <si>
    <t>温补控制使能（当前次有效）</t>
  </si>
  <si>
    <t>NLC使能（当前次有效）</t>
  </si>
  <si>
    <t>电池报警失能控制</t>
  </si>
  <si>
    <t>温度报警失能控制</t>
  </si>
  <si>
    <t>过速报警失能控制</t>
  </si>
  <si>
    <t>清除单圈位置</t>
  </si>
  <si>
    <t>清除多圈值</t>
  </si>
  <si>
    <t>清除所有报警信息</t>
  </si>
  <si>
    <r>
      <rPr>
        <sz val="11"/>
        <color theme="1"/>
        <rFont val="等线"/>
        <charset val="134"/>
        <scheme val="minor"/>
      </rPr>
      <t>禁止0x</t>
    </r>
    <r>
      <rPr>
        <sz val="11"/>
        <color theme="1"/>
        <rFont val="等线"/>
        <charset val="134"/>
        <scheme val="minor"/>
      </rPr>
      <t>62</t>
    </r>
  </si>
  <si>
    <r>
      <rPr>
        <sz val="11"/>
        <color theme="1"/>
        <rFont val="等线"/>
        <charset val="134"/>
        <scheme val="minor"/>
      </rPr>
      <t>禁止0x</t>
    </r>
    <r>
      <rPr>
        <sz val="11"/>
        <color theme="1"/>
        <rFont val="等线"/>
        <charset val="134"/>
        <scheme val="minor"/>
      </rPr>
      <t>C2</t>
    </r>
  </si>
  <si>
    <r>
      <rPr>
        <sz val="11"/>
        <color theme="1"/>
        <rFont val="等线"/>
        <charset val="134"/>
        <scheme val="minor"/>
      </rPr>
      <t>禁止0x</t>
    </r>
    <r>
      <rPr>
        <sz val="11"/>
        <color theme="1"/>
        <rFont val="等线"/>
        <charset val="134"/>
        <scheme val="minor"/>
      </rPr>
      <t>BA</t>
    </r>
  </si>
  <si>
    <r>
      <rPr>
        <sz val="11"/>
        <color theme="1"/>
        <rFont val="等线"/>
        <charset val="134"/>
        <scheme val="minor"/>
      </rPr>
      <t>禁止0x</t>
    </r>
    <r>
      <rPr>
        <sz val="11"/>
        <color theme="1"/>
        <rFont val="等线"/>
        <charset val="134"/>
        <scheme val="minor"/>
      </rPr>
      <t>32</t>
    </r>
  </si>
  <si>
    <t>多摩川page0读温度报警功能使能</t>
  </si>
  <si>
    <t>温度上限值</t>
  </si>
  <si>
    <t>温度下限值</t>
  </si>
  <si>
    <t>速度上限制值[7:0]</t>
  </si>
  <si>
    <t>速度上限制值[15:8]</t>
  </si>
  <si>
    <t>电池报警电压值</t>
  </si>
  <si>
    <t>电池错误电压值</t>
  </si>
  <si>
    <t>单圈位置偏置值[7:0](多圈校准用)</t>
  </si>
  <si>
    <t>单圈位置偏置值[15:8](多圈校准用)</t>
  </si>
  <si>
    <t>单圈位置偏置值[23:16](多圈校准用)</t>
  </si>
  <si>
    <t>单圈位置偏置值[31:24](多圈校准用)</t>
  </si>
  <si>
    <t>单圈位置偏置值[7:0](调零)</t>
  </si>
  <si>
    <t>单圈位置偏置值[15:8](调零)</t>
  </si>
  <si>
    <t>单圈位置偏置值[23:16](调零)</t>
  </si>
  <si>
    <t>单圈位置偏置值[31:24](调零)</t>
  </si>
  <si>
    <t>多圈point值[7:0]</t>
  </si>
  <si>
    <t>多圈point值[15:8]</t>
  </si>
  <si>
    <t>多圈point值[23:16]</t>
  </si>
  <si>
    <r>
      <rPr>
        <sz val="11"/>
        <color theme="1"/>
        <rFont val="等线"/>
        <charset val="134"/>
        <scheme val="minor"/>
      </rPr>
      <t>0x0</t>
    </r>
    <r>
      <rPr>
        <sz val="11"/>
        <color theme="1"/>
        <rFont val="等线"/>
        <charset val="134"/>
        <scheme val="minor"/>
      </rPr>
      <t>0</t>
    </r>
  </si>
  <si>
    <t>多圈point值[31:24]</t>
  </si>
  <si>
    <t>忽略SF</t>
  </si>
  <si>
    <t>忽略内部报警1(ALARM)</t>
  </si>
  <si>
    <t>忽略内部报警2</t>
  </si>
  <si>
    <t>忽略内部报警3</t>
  </si>
  <si>
    <t>分辨率标志位</t>
  </si>
  <si>
    <t>分辨率</t>
  </si>
  <si>
    <t>FCT时间-年</t>
  </si>
  <si>
    <t>FCT时间-月</t>
  </si>
  <si>
    <t>FCT时间-日</t>
  </si>
  <si>
    <t>FCT时间-时</t>
  </si>
  <si>
    <t>校准时间-年</t>
  </si>
  <si>
    <t>校准时间-月</t>
  </si>
  <si>
    <t>校准时间-日</t>
  </si>
  <si>
    <t>校准时间-时</t>
  </si>
  <si>
    <t>硬件版本类型 H</t>
  </si>
  <si>
    <t>硬件编码器类型</t>
  </si>
  <si>
    <t>硬件主版本号</t>
  </si>
  <si>
    <t>硬件子版本号</t>
  </si>
  <si>
    <t>校准版本类型C</t>
  </si>
  <si>
    <t>校准编码器类型</t>
  </si>
  <si>
    <t>校准主版本号</t>
  </si>
  <si>
    <t>校准子版本号</t>
  </si>
  <si>
    <t>3(只读)</t>
  </si>
  <si>
    <t>编码器初始化标志寄存器</t>
  </si>
  <si>
    <t>电池警告报警</t>
  </si>
  <si>
    <t>电池错误报警</t>
  </si>
  <si>
    <t xml:space="preserve">内部多圈报警 </t>
  </si>
  <si>
    <t>过热报警</t>
  </si>
  <si>
    <t>解算芯片读寄存器错误</t>
  </si>
  <si>
    <t>解算芯片CRC错误</t>
  </si>
  <si>
    <t>内部单圈报警</t>
  </si>
  <si>
    <t>过速报警</t>
  </si>
  <si>
    <t>欠压</t>
  </si>
  <si>
    <t>磁场太弱</t>
  </si>
  <si>
    <t>转速过快</t>
  </si>
  <si>
    <t>误差值超出等级匹配范围</t>
  </si>
  <si>
    <t>NLC误差值超出范围</t>
  </si>
  <si>
    <t>寄存器数据写eeprom错误</t>
  </si>
  <si>
    <t>数据写寄存器错误</t>
  </si>
  <si>
    <t>当前磁编校准完成</t>
  </si>
  <si>
    <t xml:space="preserve">多圈错误 </t>
  </si>
  <si>
    <t>霍尔异常</t>
  </si>
  <si>
    <t>供电异常</t>
  </si>
  <si>
    <t>BFCRC校验异常</t>
  </si>
  <si>
    <t>e2未初始化</t>
  </si>
  <si>
    <t>报警速度值[7:0]</t>
  </si>
  <si>
    <t>报警速度值[15:8]</t>
  </si>
  <si>
    <t>报警温度值</t>
  </si>
  <si>
    <t>报警电池电压值</t>
  </si>
  <si>
    <t>当前温度值</t>
  </si>
  <si>
    <t>当前电池电压值</t>
  </si>
  <si>
    <t>当前速度[7:0]</t>
  </si>
  <si>
    <t>当前速度[15:8]</t>
  </si>
  <si>
    <t>编码器类型</t>
  </si>
  <si>
    <t>编码器ID</t>
  </si>
  <si>
    <t>产品ID</t>
  </si>
  <si>
    <t>保留</t>
  </si>
  <si>
    <t>编码器主版本号</t>
  </si>
  <si>
    <t>子版本号</t>
  </si>
  <si>
    <t>修订版本号</t>
  </si>
  <si>
    <t>版本阶段</t>
  </si>
  <si>
    <t>…</t>
  </si>
  <si>
    <t>固件编译时间-年</t>
  </si>
  <si>
    <t>固件编译时间-月</t>
  </si>
  <si>
    <t>固件编译时间-日</t>
  </si>
  <si>
    <t>固件编译时间-时</t>
  </si>
  <si>
    <t>4_11(读写)</t>
  </si>
  <si>
    <t>13-15</t>
  </si>
  <si>
    <t>map(多摩川协议)</t>
  </si>
  <si>
    <t>,,,</t>
  </si>
  <si>
    <t>1.多摩川协议只允许操作前两页用户区域。</t>
  </si>
  <si>
    <t>2.内部读写eeprom协议,可全区域操作。
Receive :0xAD:读eeprom/flash功能
Receive  0xAD  | PAGE | ADF | DNUM | CRC
Send       0xAD | PAGE | ADF | DNUM | DAT0  | … | DAT(N-1) | CRC 
PAGE:操作的页码
ADF:当前页偏移地址
DNUM：传输数据的字节数
CRC:校验
Receive :0x35:写eeprom/flash功能
Receive  0x35 | PAGE | ADF | DNUM | DAT0  | … | DAT(N-1) | CRC
Send      0x35 | PAGE | ADF | DNUM | DAT0  | … | DAT(N-1) | CRC 
PAGE:操作的页码
ADF:当前页偏移地址
DNUM：传输数据的字节数
CRC:校验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</si>
</sst>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6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b/>
      <sz val="1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7" tint="0.399945066682943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1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14" applyNumberFormat="0" applyAlignment="0" applyProtection="0">
      <alignment vertical="center"/>
    </xf>
    <xf numFmtId="0" fontId="16" fillId="10" borderId="15" applyNumberFormat="0" applyAlignment="0" applyProtection="0">
      <alignment vertical="center"/>
    </xf>
    <xf numFmtId="0" fontId="17" fillId="10" borderId="14" applyNumberFormat="0" applyAlignment="0" applyProtection="0">
      <alignment vertical="center"/>
    </xf>
    <xf numFmtId="0" fontId="18" fillId="11" borderId="16" applyNumberFormat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</cellStyleXfs>
  <cellXfs count="79">
    <xf numFmtId="0" fontId="0" fillId="0" borderId="0" xfId="0"/>
    <xf numFmtId="0" fontId="0" fillId="2" borderId="0" xfId="0" applyFill="1" applyAlignment="1">
      <alignment horizontal="left"/>
    </xf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horizontal="left" vertical="top"/>
    </xf>
    <xf numFmtId="176" fontId="0" fillId="0" borderId="0" xfId="0" applyNumberFormat="1"/>
    <xf numFmtId="0" fontId="0" fillId="3" borderId="1" xfId="0" applyFill="1" applyBorder="1" applyAlignment="1">
      <alignment horizontal="center" wrapText="1"/>
    </xf>
    <xf numFmtId="176" fontId="0" fillId="3" borderId="2" xfId="0" applyNumberFormat="1" applyFill="1" applyBorder="1" applyAlignment="1">
      <alignment horizontal="center" wrapText="1"/>
    </xf>
    <xf numFmtId="176" fontId="0" fillId="3" borderId="3" xfId="0" applyNumberFormat="1" applyFill="1" applyBorder="1" applyAlignment="1">
      <alignment horizontal="center" wrapText="1"/>
    </xf>
    <xf numFmtId="0" fontId="0" fillId="3" borderId="2" xfId="0" applyFill="1" applyBorder="1" applyAlignment="1">
      <alignment horizontal="center" wrapText="1"/>
    </xf>
    <xf numFmtId="0" fontId="0" fillId="3" borderId="4" xfId="0" applyFill="1" applyBorder="1" applyAlignment="1">
      <alignment horizontal="center" wrapText="1"/>
    </xf>
    <xf numFmtId="176" fontId="0" fillId="3" borderId="1" xfId="0" applyNumberFormat="1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76" fontId="0" fillId="0" borderId="1" xfId="0" applyNumberForma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6" xfId="0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4" xfId="0" applyBorder="1" applyAlignment="1">
      <alignment wrapText="1"/>
    </xf>
    <xf numFmtId="0" fontId="1" fillId="0" borderId="4" xfId="0" applyFont="1" applyBorder="1" applyAlignment="1">
      <alignment wrapText="1"/>
    </xf>
    <xf numFmtId="0" fontId="0" fillId="0" borderId="2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0" fillId="3" borderId="3" xfId="0" applyFill="1" applyBorder="1" applyAlignment="1">
      <alignment horizontal="center" wrapText="1"/>
    </xf>
    <xf numFmtId="0" fontId="0" fillId="3" borderId="7" xfId="0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3" borderId="8" xfId="0" applyFill="1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1" xfId="0" applyBorder="1"/>
    <xf numFmtId="0" fontId="1" fillId="0" borderId="3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3" xfId="0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4" fillId="0" borderId="3" xfId="0" applyFont="1" applyBorder="1" applyAlignment="1">
      <alignment horizontal="center" wrapText="1"/>
    </xf>
    <xf numFmtId="0" fontId="0" fillId="0" borderId="0" xfId="0" applyBorder="1" applyAlignment="1">
      <alignment horizontal="center" vertical="center" wrapText="1"/>
    </xf>
    <xf numFmtId="176" fontId="0" fillId="0" borderId="0" xfId="0" applyNumberFormat="1" applyBorder="1" applyAlignment="1">
      <alignment wrapText="1"/>
    </xf>
    <xf numFmtId="0" fontId="0" fillId="0" borderId="0" xfId="0" applyBorder="1" applyAlignment="1">
      <alignment horizontal="center" wrapText="1"/>
    </xf>
    <xf numFmtId="0" fontId="0" fillId="0" borderId="0" xfId="0" applyBorder="1"/>
    <xf numFmtId="0" fontId="0" fillId="4" borderId="1" xfId="0" applyFill="1" applyBorder="1" applyAlignment="1">
      <alignment horizontal="center" wrapText="1"/>
    </xf>
    <xf numFmtId="176" fontId="0" fillId="4" borderId="1" xfId="0" applyNumberFormat="1" applyFill="1" applyBorder="1" applyAlignment="1">
      <alignment wrapText="1"/>
    </xf>
    <xf numFmtId="0" fontId="0" fillId="4" borderId="2" xfId="0" applyFill="1" applyBorder="1" applyAlignment="1">
      <alignment horizontal="center" wrapText="1"/>
    </xf>
    <xf numFmtId="0" fontId="0" fillId="4" borderId="4" xfId="0" applyFill="1" applyBorder="1" applyAlignment="1">
      <alignment horizontal="center" wrapText="1"/>
    </xf>
    <xf numFmtId="176" fontId="0" fillId="0" borderId="1" xfId="0" applyNumberFormat="1" applyBorder="1"/>
    <xf numFmtId="0" fontId="0" fillId="0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0" fillId="0" borderId="6" xfId="0" applyBorder="1" applyAlignment="1">
      <alignment vertical="center" wrapText="1"/>
    </xf>
    <xf numFmtId="0" fontId="0" fillId="0" borderId="0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wrapText="1"/>
    </xf>
    <xf numFmtId="0" fontId="0" fillId="4" borderId="1" xfId="0" applyFill="1" applyBorder="1" applyAlignment="1">
      <alignment horizontal="left" wrapText="1"/>
    </xf>
    <xf numFmtId="0" fontId="0" fillId="0" borderId="3" xfId="0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176" fontId="0" fillId="3" borderId="1" xfId="0" applyNumberForma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17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9" xfId="0" applyFill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5" borderId="1" xfId="0" applyFill="1" applyBorder="1" applyAlignment="1">
      <alignment horizontal="center" wrapText="1"/>
    </xf>
    <xf numFmtId="0" fontId="0" fillId="5" borderId="1" xfId="0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zoomScale="145" zoomScaleNormal="145" topLeftCell="A28" workbookViewId="0">
      <selection activeCell="D33" sqref="D33:K33"/>
    </sheetView>
  </sheetViews>
  <sheetFormatPr defaultColWidth="9" defaultRowHeight="14.25" outlineLevelCol="2"/>
  <cols>
    <col min="1" max="1" width="23.875" customWidth="1"/>
    <col min="2" max="2" width="19.75" customWidth="1"/>
    <col min="3" max="3" width="22.375" customWidth="1"/>
  </cols>
  <sheetData>
    <row r="1" spans="1:3">
      <c r="A1" s="71" t="s">
        <v>0</v>
      </c>
      <c r="B1" s="71"/>
      <c r="C1" s="71"/>
    </row>
    <row r="2" spans="1:3">
      <c r="A2" s="72" t="s">
        <v>1</v>
      </c>
      <c r="B2" s="73" t="s">
        <v>2</v>
      </c>
      <c r="C2" s="74" t="s">
        <v>3</v>
      </c>
    </row>
    <row r="3" spans="1:3">
      <c r="A3" s="75" t="s">
        <v>4</v>
      </c>
      <c r="B3" s="76" t="s">
        <v>5</v>
      </c>
      <c r="C3" s="77" t="s">
        <v>6</v>
      </c>
    </row>
    <row r="4" spans="1:3">
      <c r="A4" s="75" t="s">
        <v>7</v>
      </c>
      <c r="B4" s="76" t="s">
        <v>8</v>
      </c>
      <c r="C4" s="77"/>
    </row>
    <row r="5" spans="1:3">
      <c r="A5" s="75">
        <v>2</v>
      </c>
      <c r="B5" s="76" t="s">
        <v>5</v>
      </c>
      <c r="C5" s="77" t="s">
        <v>9</v>
      </c>
    </row>
    <row r="6" spans="1:3">
      <c r="A6" s="75" t="s">
        <v>7</v>
      </c>
      <c r="B6" s="76" t="s">
        <v>8</v>
      </c>
      <c r="C6" s="77"/>
    </row>
    <row r="7" spans="1:3">
      <c r="A7" s="75">
        <v>3</v>
      </c>
      <c r="B7" s="76" t="s">
        <v>5</v>
      </c>
      <c r="C7" s="77" t="s">
        <v>10</v>
      </c>
    </row>
    <row r="8" spans="1:3">
      <c r="A8" s="75" t="s">
        <v>7</v>
      </c>
      <c r="B8" s="76" t="s">
        <v>8</v>
      </c>
      <c r="C8" s="77"/>
    </row>
    <row r="9" spans="1:3">
      <c r="A9" s="78" t="s">
        <v>11</v>
      </c>
      <c r="B9" s="76" t="s">
        <v>5</v>
      </c>
      <c r="C9" s="77" t="s">
        <v>12</v>
      </c>
    </row>
    <row r="10" spans="1:3">
      <c r="A10" s="75" t="s">
        <v>7</v>
      </c>
      <c r="B10" s="76" t="s">
        <v>8</v>
      </c>
      <c r="C10" s="77"/>
    </row>
    <row r="11" spans="1:3">
      <c r="A11" s="78" t="s">
        <v>13</v>
      </c>
      <c r="B11" s="76" t="s">
        <v>5</v>
      </c>
      <c r="C11" s="77" t="s">
        <v>12</v>
      </c>
    </row>
    <row r="12" spans="1:3">
      <c r="A12" s="75" t="s">
        <v>7</v>
      </c>
      <c r="B12" s="76" t="s">
        <v>8</v>
      </c>
      <c r="C12" s="77"/>
    </row>
    <row r="13" ht="26.25" customHeight="1" spans="1:3">
      <c r="A13" s="78" t="s">
        <v>14</v>
      </c>
      <c r="B13" s="76" t="s">
        <v>5</v>
      </c>
      <c r="C13" s="77" t="s">
        <v>6</v>
      </c>
    </row>
    <row r="14" spans="1:3">
      <c r="A14" s="75" t="s">
        <v>7</v>
      </c>
      <c r="B14" s="76" t="s">
        <v>8</v>
      </c>
      <c r="C14" s="77"/>
    </row>
  </sheetData>
  <mergeCells count="7">
    <mergeCell ref="A1:C1"/>
    <mergeCell ref="C3:C4"/>
    <mergeCell ref="C5:C6"/>
    <mergeCell ref="C7:C8"/>
    <mergeCell ref="C9:C10"/>
    <mergeCell ref="C11:C12"/>
    <mergeCell ref="C13:C1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W175"/>
  <sheetViews>
    <sheetView tabSelected="1" zoomScale="145" zoomScaleNormal="145" topLeftCell="A12" workbookViewId="0">
      <selection activeCell="D26" sqref="D26:K29"/>
    </sheetView>
  </sheetViews>
  <sheetFormatPr defaultColWidth="9" defaultRowHeight="14.25"/>
  <cols>
    <col min="1" max="1" width="10.875" customWidth="1"/>
    <col min="2" max="2" width="11.75" customWidth="1"/>
    <col min="3" max="3" width="10.875" style="4" customWidth="1"/>
    <col min="4" max="11" width="8.625" customWidth="1"/>
    <col min="12" max="12" width="13.625" customWidth="1"/>
  </cols>
  <sheetData>
    <row r="2" customHeight="1" spans="1:13">
      <c r="A2" s="5" t="s">
        <v>1</v>
      </c>
      <c r="B2" s="6" t="s">
        <v>15</v>
      </c>
      <c r="C2" s="7"/>
      <c r="D2" s="8" t="s">
        <v>16</v>
      </c>
      <c r="E2" s="9"/>
      <c r="F2" s="9"/>
      <c r="G2" s="9"/>
      <c r="H2" s="9"/>
      <c r="I2" s="9"/>
      <c r="J2" s="9"/>
      <c r="K2" s="29"/>
      <c r="L2" s="30" t="s">
        <v>17</v>
      </c>
      <c r="M2" s="31" t="s">
        <v>18</v>
      </c>
    </row>
    <row r="3" spans="1:13">
      <c r="A3" s="5"/>
      <c r="B3" s="5" t="s">
        <v>19</v>
      </c>
      <c r="C3" s="10" t="s">
        <v>20</v>
      </c>
      <c r="D3" s="11">
        <v>7</v>
      </c>
      <c r="E3" s="11">
        <v>6</v>
      </c>
      <c r="F3" s="11">
        <v>5</v>
      </c>
      <c r="G3" s="11">
        <v>4</v>
      </c>
      <c r="H3" s="11">
        <v>3</v>
      </c>
      <c r="I3" s="11">
        <v>2</v>
      </c>
      <c r="J3" s="11">
        <v>1</v>
      </c>
      <c r="K3" s="11">
        <v>0</v>
      </c>
      <c r="L3" s="32"/>
      <c r="M3" s="33"/>
    </row>
    <row r="4" ht="24.75" customHeight="1" spans="1:13">
      <c r="A4" s="12" t="s">
        <v>21</v>
      </c>
      <c r="B4" s="13">
        <v>0</v>
      </c>
      <c r="C4" s="14" t="str">
        <f>IF(B4&lt;16,"0x0"&amp;DEC2HEX(B4),"0x"&amp;DEC2HEX(B4))</f>
        <v>0x00</v>
      </c>
      <c r="D4" s="15"/>
      <c r="E4" s="15"/>
      <c r="F4" s="15"/>
      <c r="G4" s="15"/>
      <c r="H4" s="15"/>
      <c r="I4" s="15" t="s">
        <v>22</v>
      </c>
      <c r="J4" s="15" t="s">
        <v>23</v>
      </c>
      <c r="K4" s="15" t="s">
        <v>24</v>
      </c>
      <c r="L4" s="15" t="s">
        <v>25</v>
      </c>
      <c r="M4" s="34">
        <f>IF(MOD(B4,4)=0,1,0)</f>
        <v>1</v>
      </c>
    </row>
    <row r="5" ht="41.1" customHeight="1" spans="1:13">
      <c r="A5" s="16"/>
      <c r="B5" s="13">
        <v>1</v>
      </c>
      <c r="C5" s="14" t="str">
        <f>IF(B5&lt;16,"0x0"&amp;DEC2HEX(B5),"0x"&amp;DEC2HEX(B5))</f>
        <v>0x01</v>
      </c>
      <c r="D5" s="15"/>
      <c r="E5" s="15"/>
      <c r="F5" s="15"/>
      <c r="G5" s="15" t="s">
        <v>26</v>
      </c>
      <c r="H5" s="15"/>
      <c r="I5" s="15"/>
      <c r="J5" s="15" t="s">
        <v>27</v>
      </c>
      <c r="K5" s="15" t="s">
        <v>28</v>
      </c>
      <c r="L5" s="15" t="s">
        <v>25</v>
      </c>
      <c r="M5" s="34">
        <f t="shared" ref="M5:M27" si="0">IF(MOD(B5,4)=0,1,0)</f>
        <v>0</v>
      </c>
    </row>
    <row r="6" ht="28.5" spans="1:13">
      <c r="A6" s="16"/>
      <c r="B6" s="13">
        <v>3</v>
      </c>
      <c r="C6" s="14" t="str">
        <f t="shared" ref="C6:C10" si="1">IF(B6&lt;16,"0x0"&amp;DEC2HEX(B6),"0x"&amp;DEC2HEX(B6))</f>
        <v>0x03</v>
      </c>
      <c r="D6" s="15"/>
      <c r="E6" s="15"/>
      <c r="F6" s="15"/>
      <c r="G6" s="15"/>
      <c r="H6" s="15"/>
      <c r="I6" s="15" t="s">
        <v>29</v>
      </c>
      <c r="J6" s="15" t="s">
        <v>30</v>
      </c>
      <c r="K6" s="15" t="s">
        <v>31</v>
      </c>
      <c r="L6" s="15" t="s">
        <v>25</v>
      </c>
      <c r="M6" s="34">
        <f t="shared" si="0"/>
        <v>0</v>
      </c>
    </row>
    <row r="7" ht="28.5" spans="1:13">
      <c r="A7" s="16"/>
      <c r="B7" s="13">
        <v>5</v>
      </c>
      <c r="C7" s="14" t="str">
        <f t="shared" si="1"/>
        <v>0x05</v>
      </c>
      <c r="D7" s="15"/>
      <c r="E7" s="15"/>
      <c r="F7" s="15"/>
      <c r="G7" s="15"/>
      <c r="H7" s="15"/>
      <c r="I7" s="15" t="s">
        <v>32</v>
      </c>
      <c r="J7" s="15" t="s">
        <v>33</v>
      </c>
      <c r="K7" s="15" t="s">
        <v>34</v>
      </c>
      <c r="L7" s="15" t="s">
        <v>25</v>
      </c>
      <c r="M7" s="34">
        <f t="shared" si="0"/>
        <v>0</v>
      </c>
    </row>
    <row r="8" spans="1:13">
      <c r="A8" s="16"/>
      <c r="B8" s="13">
        <v>6</v>
      </c>
      <c r="C8" s="14" t="str">
        <f t="shared" si="1"/>
        <v>0x06</v>
      </c>
      <c r="D8" s="17"/>
      <c r="E8" s="18"/>
      <c r="F8" s="18"/>
      <c r="G8" s="18"/>
      <c r="H8" s="19" t="s">
        <v>35</v>
      </c>
      <c r="I8" s="19" t="s">
        <v>36</v>
      </c>
      <c r="J8" s="19" t="s">
        <v>37</v>
      </c>
      <c r="K8" s="35" t="s">
        <v>38</v>
      </c>
      <c r="L8" s="15"/>
      <c r="M8" s="34">
        <f t="shared" si="0"/>
        <v>0</v>
      </c>
    </row>
    <row r="9" ht="45" customHeight="1" spans="1:13">
      <c r="A9" s="16"/>
      <c r="B9" s="13">
        <v>7</v>
      </c>
      <c r="C9" s="14" t="str">
        <f t="shared" si="1"/>
        <v>0x07</v>
      </c>
      <c r="D9" s="17"/>
      <c r="E9" s="18"/>
      <c r="F9" s="18"/>
      <c r="G9" s="18"/>
      <c r="H9" s="18"/>
      <c r="I9" s="18"/>
      <c r="J9" s="18"/>
      <c r="K9" s="35" t="s">
        <v>39</v>
      </c>
      <c r="L9" s="36" t="s">
        <v>25</v>
      </c>
      <c r="M9" s="34">
        <f t="shared" si="0"/>
        <v>0</v>
      </c>
    </row>
    <row r="10" customHeight="1" spans="1:13">
      <c r="A10" s="16"/>
      <c r="B10" s="13">
        <v>8</v>
      </c>
      <c r="C10" s="14" t="str">
        <f t="shared" si="1"/>
        <v>0x08</v>
      </c>
      <c r="D10" s="20" t="s">
        <v>40</v>
      </c>
      <c r="E10" s="21"/>
      <c r="F10" s="21"/>
      <c r="G10" s="21"/>
      <c r="H10" s="21"/>
      <c r="I10" s="21"/>
      <c r="J10" s="21"/>
      <c r="K10" s="37"/>
      <c r="L10" s="15" t="s">
        <v>25</v>
      </c>
      <c r="M10" s="34">
        <f t="shared" si="0"/>
        <v>1</v>
      </c>
    </row>
    <row r="11" customHeight="1" spans="1:13">
      <c r="A11" s="16"/>
      <c r="B11" s="13">
        <v>9</v>
      </c>
      <c r="C11" s="14" t="str">
        <f t="shared" ref="C11:C24" si="2">IF(B11&lt;16,"0x0"&amp;DEC2HEX(B11),"0x"&amp;DEC2HEX(B11))</f>
        <v>0x09</v>
      </c>
      <c r="D11" s="20" t="s">
        <v>41</v>
      </c>
      <c r="E11" s="21"/>
      <c r="F11" s="21"/>
      <c r="G11" s="21"/>
      <c r="H11" s="21"/>
      <c r="I11" s="21"/>
      <c r="J11" s="21"/>
      <c r="K11" s="37"/>
      <c r="L11" s="15" t="s">
        <v>25</v>
      </c>
      <c r="M11" s="34">
        <f t="shared" si="0"/>
        <v>0</v>
      </c>
    </row>
    <row r="12" customHeight="1" spans="1:13">
      <c r="A12" s="16"/>
      <c r="B12" s="13">
        <v>10</v>
      </c>
      <c r="C12" s="14" t="str">
        <f t="shared" si="2"/>
        <v>0x0A</v>
      </c>
      <c r="D12" s="20" t="s">
        <v>42</v>
      </c>
      <c r="E12" s="21"/>
      <c r="F12" s="21"/>
      <c r="G12" s="21"/>
      <c r="H12" s="21"/>
      <c r="I12" s="21"/>
      <c r="J12" s="21"/>
      <c r="K12" s="37"/>
      <c r="L12" s="15" t="s">
        <v>25</v>
      </c>
      <c r="M12" s="34">
        <f t="shared" si="0"/>
        <v>0</v>
      </c>
    </row>
    <row r="13" customHeight="1" spans="1:13">
      <c r="A13" s="16"/>
      <c r="B13" s="13">
        <v>11</v>
      </c>
      <c r="C13" s="14" t="str">
        <f t="shared" si="2"/>
        <v>0x0B</v>
      </c>
      <c r="D13" s="20" t="s">
        <v>43</v>
      </c>
      <c r="E13" s="21"/>
      <c r="F13" s="21"/>
      <c r="G13" s="21"/>
      <c r="H13" s="21"/>
      <c r="I13" s="21"/>
      <c r="J13" s="21"/>
      <c r="K13" s="37"/>
      <c r="L13" s="15" t="s">
        <v>25</v>
      </c>
      <c r="M13" s="34">
        <f t="shared" si="0"/>
        <v>0</v>
      </c>
    </row>
    <row r="14" customHeight="1" spans="1:13">
      <c r="A14" s="16"/>
      <c r="B14" s="13">
        <v>12</v>
      </c>
      <c r="C14" s="14" t="str">
        <f t="shared" si="2"/>
        <v>0x0C</v>
      </c>
      <c r="D14" s="20" t="s">
        <v>44</v>
      </c>
      <c r="E14" s="21"/>
      <c r="F14" s="21"/>
      <c r="G14" s="21"/>
      <c r="H14" s="21"/>
      <c r="I14" s="21"/>
      <c r="J14" s="21"/>
      <c r="K14" s="37"/>
      <c r="L14" s="15" t="s">
        <v>25</v>
      </c>
      <c r="M14" s="34">
        <f t="shared" si="0"/>
        <v>1</v>
      </c>
    </row>
    <row r="15" customHeight="1" spans="1:13">
      <c r="A15" s="16"/>
      <c r="B15" s="13">
        <v>13</v>
      </c>
      <c r="C15" s="14" t="str">
        <f t="shared" si="2"/>
        <v>0x0D</v>
      </c>
      <c r="D15" s="20" t="s">
        <v>45</v>
      </c>
      <c r="E15" s="21"/>
      <c r="F15" s="21"/>
      <c r="G15" s="21"/>
      <c r="H15" s="21"/>
      <c r="I15" s="21"/>
      <c r="J15" s="21"/>
      <c r="K15" s="37"/>
      <c r="L15" s="15" t="s">
        <v>25</v>
      </c>
      <c r="M15" s="34">
        <f t="shared" si="0"/>
        <v>0</v>
      </c>
    </row>
    <row r="16" customHeight="1" spans="1:13">
      <c r="A16" s="16"/>
      <c r="B16" s="13">
        <v>14</v>
      </c>
      <c r="C16" s="14" t="str">
        <f t="shared" si="2"/>
        <v>0x0E</v>
      </c>
      <c r="D16" s="20"/>
      <c r="E16" s="21"/>
      <c r="F16" s="21"/>
      <c r="G16" s="21"/>
      <c r="H16" s="21"/>
      <c r="I16" s="21"/>
      <c r="J16" s="21"/>
      <c r="K16" s="37"/>
      <c r="L16" s="15" t="s">
        <v>25</v>
      </c>
      <c r="M16" s="34">
        <f t="shared" si="0"/>
        <v>0</v>
      </c>
    </row>
    <row r="17" customHeight="1" spans="1:13">
      <c r="A17" s="16"/>
      <c r="B17" s="13">
        <v>15</v>
      </c>
      <c r="C17" s="14" t="str">
        <f t="shared" si="2"/>
        <v>0x0F</v>
      </c>
      <c r="D17" s="20"/>
      <c r="E17" s="21"/>
      <c r="F17" s="21"/>
      <c r="G17" s="21"/>
      <c r="H17" s="21"/>
      <c r="I17" s="21"/>
      <c r="J17" s="21"/>
      <c r="K17" s="37"/>
      <c r="L17" s="15" t="s">
        <v>25</v>
      </c>
      <c r="M17" s="34">
        <f t="shared" si="0"/>
        <v>0</v>
      </c>
    </row>
    <row r="18" customHeight="1" spans="1:13">
      <c r="A18" s="16"/>
      <c r="B18" s="13">
        <v>16</v>
      </c>
      <c r="C18" s="14" t="str">
        <f t="shared" si="2"/>
        <v>0x10</v>
      </c>
      <c r="D18" s="22" t="s">
        <v>46</v>
      </c>
      <c r="E18" s="23"/>
      <c r="F18" s="23"/>
      <c r="G18" s="23"/>
      <c r="H18" s="23"/>
      <c r="I18" s="23"/>
      <c r="J18" s="23"/>
      <c r="K18" s="38"/>
      <c r="L18" s="15" t="s">
        <v>25</v>
      </c>
      <c r="M18" s="34">
        <f t="shared" si="0"/>
        <v>1</v>
      </c>
    </row>
    <row r="19" customHeight="1" spans="1:13">
      <c r="A19" s="16"/>
      <c r="B19" s="13">
        <v>17</v>
      </c>
      <c r="C19" s="14" t="str">
        <f t="shared" si="2"/>
        <v>0x11</v>
      </c>
      <c r="D19" s="22" t="s">
        <v>47</v>
      </c>
      <c r="E19" s="23"/>
      <c r="F19" s="23"/>
      <c r="G19" s="23"/>
      <c r="H19" s="23"/>
      <c r="I19" s="23"/>
      <c r="J19" s="23"/>
      <c r="K19" s="38"/>
      <c r="L19" s="15" t="s">
        <v>25</v>
      </c>
      <c r="M19" s="34">
        <f t="shared" si="0"/>
        <v>0</v>
      </c>
    </row>
    <row r="20" customHeight="1" spans="1:13">
      <c r="A20" s="16"/>
      <c r="B20" s="13">
        <v>18</v>
      </c>
      <c r="C20" s="14" t="str">
        <f t="shared" si="2"/>
        <v>0x12</v>
      </c>
      <c r="D20" s="22" t="s">
        <v>48</v>
      </c>
      <c r="E20" s="23"/>
      <c r="F20" s="23"/>
      <c r="G20" s="23"/>
      <c r="H20" s="23"/>
      <c r="I20" s="23"/>
      <c r="J20" s="23"/>
      <c r="K20" s="38"/>
      <c r="L20" s="15" t="s">
        <v>25</v>
      </c>
      <c r="M20" s="34">
        <f t="shared" si="0"/>
        <v>0</v>
      </c>
    </row>
    <row r="21" customHeight="1" spans="1:13">
      <c r="A21" s="16"/>
      <c r="B21" s="13">
        <v>19</v>
      </c>
      <c r="C21" s="14" t="str">
        <f t="shared" si="2"/>
        <v>0x13</v>
      </c>
      <c r="D21" s="22" t="s">
        <v>49</v>
      </c>
      <c r="E21" s="23"/>
      <c r="F21" s="23"/>
      <c r="G21" s="23"/>
      <c r="H21" s="23"/>
      <c r="I21" s="23"/>
      <c r="J21" s="23"/>
      <c r="K21" s="38"/>
      <c r="L21" s="15" t="s">
        <v>25</v>
      </c>
      <c r="M21" s="34">
        <f t="shared" si="0"/>
        <v>0</v>
      </c>
    </row>
    <row r="22" customHeight="1" spans="1:13">
      <c r="A22" s="16"/>
      <c r="B22" s="13">
        <v>20</v>
      </c>
      <c r="C22" s="14" t="str">
        <f t="shared" si="2"/>
        <v>0x14</v>
      </c>
      <c r="D22" s="24" t="s">
        <v>50</v>
      </c>
      <c r="E22" s="21"/>
      <c r="F22" s="21"/>
      <c r="G22" s="21"/>
      <c r="H22" s="21"/>
      <c r="I22" s="21"/>
      <c r="J22" s="21"/>
      <c r="K22" s="37"/>
      <c r="L22" s="15" t="s">
        <v>25</v>
      </c>
      <c r="M22" s="34">
        <f t="shared" si="0"/>
        <v>1</v>
      </c>
    </row>
    <row r="23" customHeight="1" spans="1:13">
      <c r="A23" s="16"/>
      <c r="B23" s="13">
        <v>21</v>
      </c>
      <c r="C23" s="14" t="str">
        <f t="shared" si="2"/>
        <v>0x15</v>
      </c>
      <c r="D23" s="24" t="s">
        <v>51</v>
      </c>
      <c r="E23" s="21"/>
      <c r="F23" s="21"/>
      <c r="G23" s="21"/>
      <c r="H23" s="21"/>
      <c r="I23" s="21"/>
      <c r="J23" s="21"/>
      <c r="K23" s="37"/>
      <c r="L23" s="15" t="s">
        <v>25</v>
      </c>
      <c r="M23" s="34">
        <f t="shared" si="0"/>
        <v>0</v>
      </c>
    </row>
    <row r="24" customHeight="1" spans="1:13">
      <c r="A24" s="16"/>
      <c r="B24" s="13">
        <v>22</v>
      </c>
      <c r="C24" s="14" t="str">
        <f t="shared" si="2"/>
        <v>0x16</v>
      </c>
      <c r="D24" s="24" t="s">
        <v>52</v>
      </c>
      <c r="E24" s="21"/>
      <c r="F24" s="21"/>
      <c r="G24" s="21"/>
      <c r="H24" s="21"/>
      <c r="I24" s="21"/>
      <c r="J24" s="21"/>
      <c r="K24" s="37"/>
      <c r="L24" s="15" t="s">
        <v>25</v>
      </c>
      <c r="M24" s="34">
        <f t="shared" si="0"/>
        <v>0</v>
      </c>
    </row>
    <row r="25" customHeight="1" spans="1:13">
      <c r="A25" s="16"/>
      <c r="B25" s="13">
        <v>23</v>
      </c>
      <c r="C25" s="14" t="str">
        <f t="shared" ref="C25:C29" si="3">IF(B25&lt;16,"0x0"&amp;DEC2HEX(B25),"0x"&amp;DEC2HEX(B25))</f>
        <v>0x17</v>
      </c>
      <c r="D25" s="24" t="s">
        <v>53</v>
      </c>
      <c r="E25" s="21"/>
      <c r="F25" s="21"/>
      <c r="G25" s="21"/>
      <c r="H25" s="21"/>
      <c r="I25" s="21"/>
      <c r="J25" s="21"/>
      <c r="K25" s="37"/>
      <c r="L25" s="15" t="s">
        <v>25</v>
      </c>
      <c r="M25" s="34">
        <f t="shared" si="0"/>
        <v>0</v>
      </c>
    </row>
    <row r="26" customHeight="1" spans="1:13">
      <c r="A26" s="16"/>
      <c r="B26" s="13">
        <v>24</v>
      </c>
      <c r="C26" s="14" t="str">
        <f t="shared" si="3"/>
        <v>0x18</v>
      </c>
      <c r="D26" s="25" t="s">
        <v>54</v>
      </c>
      <c r="E26" s="26"/>
      <c r="F26" s="26"/>
      <c r="G26" s="26"/>
      <c r="H26" s="26"/>
      <c r="I26" s="26"/>
      <c r="J26" s="26"/>
      <c r="K26" s="39"/>
      <c r="L26" s="15" t="s">
        <v>25</v>
      </c>
      <c r="M26" s="34">
        <f t="shared" si="0"/>
        <v>1</v>
      </c>
    </row>
    <row r="27" customHeight="1" spans="1:13">
      <c r="A27" s="16"/>
      <c r="B27" s="13">
        <v>25</v>
      </c>
      <c r="C27" s="14" t="str">
        <f t="shared" si="3"/>
        <v>0x19</v>
      </c>
      <c r="D27" s="25" t="s">
        <v>55</v>
      </c>
      <c r="E27" s="26"/>
      <c r="F27" s="26"/>
      <c r="G27" s="26"/>
      <c r="H27" s="26"/>
      <c r="I27" s="26"/>
      <c r="J27" s="26"/>
      <c r="K27" s="39"/>
      <c r="L27" s="15" t="s">
        <v>25</v>
      </c>
      <c r="M27" s="34">
        <f t="shared" si="0"/>
        <v>0</v>
      </c>
    </row>
    <row r="28" customHeight="1" spans="1:13">
      <c r="A28" s="16"/>
      <c r="B28" s="13">
        <v>26</v>
      </c>
      <c r="C28" s="14" t="str">
        <f t="shared" si="3"/>
        <v>0x1A</v>
      </c>
      <c r="D28" s="25" t="s">
        <v>56</v>
      </c>
      <c r="E28" s="26"/>
      <c r="F28" s="26"/>
      <c r="G28" s="26"/>
      <c r="H28" s="26"/>
      <c r="I28" s="26"/>
      <c r="J28" s="26"/>
      <c r="K28" s="39"/>
      <c r="L28" s="36" t="s">
        <v>57</v>
      </c>
      <c r="M28" s="34">
        <f t="shared" ref="M28:M29" si="4">IF(MOD(B28,4)=0,1,0)</f>
        <v>0</v>
      </c>
    </row>
    <row r="29" customHeight="1" spans="1:13">
      <c r="A29" s="16"/>
      <c r="B29" s="13">
        <v>27</v>
      </c>
      <c r="C29" s="14" t="str">
        <f t="shared" si="3"/>
        <v>0x1B</v>
      </c>
      <c r="D29" s="25" t="s">
        <v>58</v>
      </c>
      <c r="E29" s="26"/>
      <c r="F29" s="26"/>
      <c r="G29" s="26"/>
      <c r="H29" s="26"/>
      <c r="I29" s="26"/>
      <c r="J29" s="26"/>
      <c r="K29" s="39"/>
      <c r="L29" s="36" t="s">
        <v>57</v>
      </c>
      <c r="M29" s="34">
        <f t="shared" si="4"/>
        <v>0</v>
      </c>
    </row>
    <row r="30" customHeight="1" spans="1:13">
      <c r="A30" s="16"/>
      <c r="B30" s="13">
        <v>28</v>
      </c>
      <c r="C30" s="14" t="str">
        <f t="shared" ref="C30:C34" si="5">IF(B30&lt;16,"0x0"&amp;DEC2HEX(B30),"0x"&amp;DEC2HEX(B30))</f>
        <v>0x1C</v>
      </c>
      <c r="D30" s="20"/>
      <c r="E30" s="21"/>
      <c r="F30" s="21"/>
      <c r="G30" s="21"/>
      <c r="H30" s="21"/>
      <c r="I30" s="21"/>
      <c r="J30" s="21"/>
      <c r="K30" s="37"/>
      <c r="L30" s="15"/>
      <c r="M30" s="34"/>
    </row>
    <row r="31" customHeight="1" spans="1:13">
      <c r="A31" s="16"/>
      <c r="B31" s="13">
        <v>29</v>
      </c>
      <c r="C31" s="14" t="str">
        <f t="shared" si="5"/>
        <v>0x1D</v>
      </c>
      <c r="D31" s="20"/>
      <c r="E31" s="21"/>
      <c r="F31" s="21"/>
      <c r="G31" s="21"/>
      <c r="H31" s="21"/>
      <c r="I31" s="21"/>
      <c r="J31" s="21"/>
      <c r="K31" s="37"/>
      <c r="L31" s="15"/>
      <c r="M31" s="34"/>
    </row>
    <row r="32" customHeight="1" spans="1:13">
      <c r="A32" s="16"/>
      <c r="B32" s="13">
        <v>30</v>
      </c>
      <c r="C32" s="14" t="str">
        <f t="shared" si="5"/>
        <v>0x1E</v>
      </c>
      <c r="D32" s="20"/>
      <c r="E32" s="21"/>
      <c r="F32" s="21"/>
      <c r="G32" s="21"/>
      <c r="H32" s="21"/>
      <c r="I32" s="21"/>
      <c r="J32" s="21"/>
      <c r="K32" s="37"/>
      <c r="L32" s="15"/>
      <c r="M32" s="34"/>
    </row>
    <row r="33" customHeight="1" spans="1:13">
      <c r="A33" s="16"/>
      <c r="B33" s="13">
        <v>31</v>
      </c>
      <c r="C33" s="14" t="str">
        <f t="shared" si="5"/>
        <v>0x1F</v>
      </c>
      <c r="D33" s="20"/>
      <c r="E33" s="21"/>
      <c r="F33" s="21"/>
      <c r="G33" s="21"/>
      <c r="H33" s="21"/>
      <c r="I33" s="21"/>
      <c r="J33" s="21"/>
      <c r="K33" s="37"/>
      <c r="L33" s="15"/>
      <c r="M33" s="34"/>
    </row>
    <row r="34" customHeight="1" spans="1:13">
      <c r="A34" s="16"/>
      <c r="B34" s="13">
        <v>32</v>
      </c>
      <c r="C34" s="14" t="str">
        <f t="shared" si="5"/>
        <v>0x20</v>
      </c>
      <c r="D34" s="20"/>
      <c r="E34" s="21"/>
      <c r="F34" s="21"/>
      <c r="G34" s="21"/>
      <c r="H34" s="21"/>
      <c r="I34" s="21"/>
      <c r="J34" s="21"/>
      <c r="K34" s="37"/>
      <c r="L34" s="15"/>
      <c r="M34" s="34"/>
    </row>
    <row r="35" customHeight="1" spans="1:23">
      <c r="A35" s="16"/>
      <c r="B35" s="13"/>
      <c r="C35" s="14"/>
      <c r="D35" s="20"/>
      <c r="E35" s="21"/>
      <c r="F35" s="21"/>
      <c r="G35" s="21"/>
      <c r="H35" s="21"/>
      <c r="I35" s="21"/>
      <c r="J35" s="21"/>
      <c r="K35" s="37"/>
      <c r="L35" s="15"/>
      <c r="M35" s="34"/>
      <c r="P35" s="40"/>
      <c r="Q35" s="40"/>
      <c r="R35" s="40"/>
      <c r="S35" s="40"/>
      <c r="T35" s="40"/>
      <c r="U35" s="40"/>
      <c r="V35" s="40"/>
      <c r="W35" s="40"/>
    </row>
    <row r="36" customHeight="1" spans="1:23">
      <c r="A36" s="16"/>
      <c r="B36" s="13">
        <v>96</v>
      </c>
      <c r="C36" s="14" t="str">
        <f t="shared" ref="C36:C43" si="6">IF(B36&lt;16,"0x0"&amp;DEC2HEX(B36),"0x"&amp;DEC2HEX(B36))</f>
        <v>0x60</v>
      </c>
      <c r="D36" s="22" t="s">
        <v>59</v>
      </c>
      <c r="E36" s="23"/>
      <c r="F36" s="23"/>
      <c r="G36" s="23"/>
      <c r="H36" s="23"/>
      <c r="I36" s="23"/>
      <c r="J36" s="23"/>
      <c r="K36" s="38"/>
      <c r="L36" s="15" t="s">
        <v>25</v>
      </c>
      <c r="M36" s="34">
        <f t="shared" ref="M36:M43" si="7">IF(MOD(B36,4)=0,1,0)</f>
        <v>1</v>
      </c>
      <c r="P36" s="40"/>
      <c r="Q36" s="40"/>
      <c r="R36" s="40"/>
      <c r="S36" s="40"/>
      <c r="T36" s="40"/>
      <c r="U36" s="40"/>
      <c r="V36" s="40"/>
      <c r="W36" s="40"/>
    </row>
    <row r="37" customHeight="1" spans="1:23">
      <c r="A37" s="16"/>
      <c r="B37" s="13">
        <v>97</v>
      </c>
      <c r="C37" s="14" t="str">
        <f t="shared" si="6"/>
        <v>0x61</v>
      </c>
      <c r="D37" s="22" t="s">
        <v>60</v>
      </c>
      <c r="E37" s="23"/>
      <c r="F37" s="23"/>
      <c r="G37" s="23"/>
      <c r="H37" s="23"/>
      <c r="I37" s="23"/>
      <c r="J37" s="23"/>
      <c r="K37" s="38"/>
      <c r="L37" s="15" t="s">
        <v>25</v>
      </c>
      <c r="M37" s="34">
        <f t="shared" si="7"/>
        <v>0</v>
      </c>
      <c r="P37" s="40"/>
      <c r="Q37" s="40"/>
      <c r="R37" s="40"/>
      <c r="S37" s="40"/>
      <c r="T37" s="40"/>
      <c r="U37" s="40"/>
      <c r="V37" s="40"/>
      <c r="W37" s="40"/>
    </row>
    <row r="38" customHeight="1" spans="1:23">
      <c r="A38" s="16"/>
      <c r="B38" s="13">
        <v>98</v>
      </c>
      <c r="C38" s="14" t="str">
        <f t="shared" si="6"/>
        <v>0x62</v>
      </c>
      <c r="D38" s="22" t="s">
        <v>61</v>
      </c>
      <c r="E38" s="23"/>
      <c r="F38" s="23"/>
      <c r="G38" s="23"/>
      <c r="H38" s="23"/>
      <c r="I38" s="23"/>
      <c r="J38" s="23"/>
      <c r="K38" s="38"/>
      <c r="L38" s="15" t="s">
        <v>25</v>
      </c>
      <c r="M38" s="34">
        <f t="shared" si="7"/>
        <v>0</v>
      </c>
      <c r="P38" s="40"/>
      <c r="Q38" s="40"/>
      <c r="R38" s="40"/>
      <c r="S38" s="40"/>
      <c r="T38" s="40"/>
      <c r="U38" s="40"/>
      <c r="V38" s="40"/>
      <c r="W38" s="40"/>
    </row>
    <row r="39" customHeight="1" spans="1:13">
      <c r="A39" s="16"/>
      <c r="B39" s="13">
        <v>99</v>
      </c>
      <c r="C39" s="14" t="str">
        <f t="shared" si="6"/>
        <v>0x63</v>
      </c>
      <c r="D39" s="22" t="s">
        <v>62</v>
      </c>
      <c r="E39" s="23"/>
      <c r="F39" s="23"/>
      <c r="G39" s="23"/>
      <c r="H39" s="23"/>
      <c r="I39" s="23"/>
      <c r="J39" s="23"/>
      <c r="K39" s="38"/>
      <c r="L39" s="15" t="s">
        <v>25</v>
      </c>
      <c r="M39" s="34">
        <f t="shared" si="7"/>
        <v>0</v>
      </c>
    </row>
    <row r="40" customHeight="1" spans="1:13">
      <c r="A40" s="16"/>
      <c r="B40" s="13">
        <v>100</v>
      </c>
      <c r="C40" s="14" t="str">
        <f t="shared" si="6"/>
        <v>0x64</v>
      </c>
      <c r="D40" s="27" t="s">
        <v>63</v>
      </c>
      <c r="E40" s="28"/>
      <c r="F40" s="28"/>
      <c r="G40" s="28"/>
      <c r="H40" s="28"/>
      <c r="I40" s="28"/>
      <c r="J40" s="28"/>
      <c r="K40" s="41"/>
      <c r="L40" s="15" t="s">
        <v>25</v>
      </c>
      <c r="M40" s="34">
        <f t="shared" si="7"/>
        <v>1</v>
      </c>
    </row>
    <row r="41" customHeight="1" spans="1:13">
      <c r="A41" s="16"/>
      <c r="B41" s="13">
        <v>101</v>
      </c>
      <c r="C41" s="14" t="str">
        <f t="shared" si="6"/>
        <v>0x65</v>
      </c>
      <c r="D41" s="27" t="s">
        <v>64</v>
      </c>
      <c r="E41" s="28"/>
      <c r="F41" s="28"/>
      <c r="G41" s="28"/>
      <c r="H41" s="28"/>
      <c r="I41" s="28"/>
      <c r="J41" s="28"/>
      <c r="K41" s="41"/>
      <c r="L41" s="15" t="s">
        <v>25</v>
      </c>
      <c r="M41" s="34">
        <f t="shared" si="7"/>
        <v>0</v>
      </c>
    </row>
    <row r="42" customHeight="1" spans="1:13">
      <c r="A42" s="16"/>
      <c r="B42" s="13">
        <v>102</v>
      </c>
      <c r="C42" s="14" t="str">
        <f t="shared" si="6"/>
        <v>0x66</v>
      </c>
      <c r="D42" s="20"/>
      <c r="E42" s="21"/>
      <c r="F42" s="21"/>
      <c r="G42" s="21"/>
      <c r="H42" s="21"/>
      <c r="I42" s="21"/>
      <c r="J42" s="21"/>
      <c r="K42" s="37"/>
      <c r="L42" s="15" t="s">
        <v>25</v>
      </c>
      <c r="M42" s="34">
        <f t="shared" si="7"/>
        <v>0</v>
      </c>
    </row>
    <row r="43" customHeight="1" spans="1:13">
      <c r="A43" s="16"/>
      <c r="B43" s="13">
        <v>103</v>
      </c>
      <c r="C43" s="14" t="str">
        <f t="shared" si="6"/>
        <v>0x67</v>
      </c>
      <c r="D43" s="20"/>
      <c r="E43" s="21"/>
      <c r="F43" s="21"/>
      <c r="G43" s="21"/>
      <c r="H43" s="21"/>
      <c r="I43" s="21"/>
      <c r="J43" s="21"/>
      <c r="K43" s="37"/>
      <c r="L43" s="15" t="s">
        <v>25</v>
      </c>
      <c r="M43" s="34">
        <f t="shared" si="7"/>
        <v>0</v>
      </c>
    </row>
    <row r="44" customHeight="1" spans="1:13">
      <c r="A44" s="16"/>
      <c r="B44" s="13">
        <v>104</v>
      </c>
      <c r="C44" s="14" t="str">
        <f t="shared" ref="C44:C55" si="8">IF(B44&lt;16,"0x0"&amp;DEC2HEX(B44),"0x"&amp;DEC2HEX(B44))</f>
        <v>0x68</v>
      </c>
      <c r="D44" s="20" t="s">
        <v>65</v>
      </c>
      <c r="E44" s="21"/>
      <c r="F44" s="21"/>
      <c r="G44" s="21"/>
      <c r="H44" s="21"/>
      <c r="I44" s="21"/>
      <c r="J44" s="21"/>
      <c r="K44" s="37"/>
      <c r="L44" s="15" t="s">
        <v>25</v>
      </c>
      <c r="M44" s="34">
        <f t="shared" ref="M44:M59" si="9">IF(MOD(B44,4)=0,1,0)</f>
        <v>1</v>
      </c>
    </row>
    <row r="45" customHeight="1" spans="1:13">
      <c r="A45" s="16"/>
      <c r="B45" s="13">
        <v>105</v>
      </c>
      <c r="C45" s="14" t="str">
        <f t="shared" si="8"/>
        <v>0x69</v>
      </c>
      <c r="D45" s="20" t="s">
        <v>66</v>
      </c>
      <c r="E45" s="21"/>
      <c r="F45" s="21"/>
      <c r="G45" s="21"/>
      <c r="H45" s="21"/>
      <c r="I45" s="21"/>
      <c r="J45" s="21"/>
      <c r="K45" s="37"/>
      <c r="L45" s="15" t="s">
        <v>25</v>
      </c>
      <c r="M45" s="34">
        <f t="shared" si="9"/>
        <v>0</v>
      </c>
    </row>
    <row r="46" customHeight="1" spans="1:13">
      <c r="A46" s="16"/>
      <c r="B46" s="13">
        <v>106</v>
      </c>
      <c r="C46" s="14" t="str">
        <f t="shared" si="8"/>
        <v>0x6A</v>
      </c>
      <c r="D46" s="20" t="s">
        <v>67</v>
      </c>
      <c r="E46" s="21"/>
      <c r="F46" s="21"/>
      <c r="G46" s="21"/>
      <c r="H46" s="21"/>
      <c r="I46" s="21"/>
      <c r="J46" s="21"/>
      <c r="K46" s="37"/>
      <c r="L46" s="15" t="s">
        <v>25</v>
      </c>
      <c r="M46" s="34">
        <f t="shared" si="9"/>
        <v>0</v>
      </c>
    </row>
    <row r="47" customHeight="1" spans="1:13">
      <c r="A47" s="16"/>
      <c r="B47" s="13">
        <v>107</v>
      </c>
      <c r="C47" s="14" t="str">
        <f t="shared" si="8"/>
        <v>0x6B</v>
      </c>
      <c r="D47" s="20" t="s">
        <v>68</v>
      </c>
      <c r="E47" s="21"/>
      <c r="F47" s="21"/>
      <c r="G47" s="21"/>
      <c r="H47" s="21"/>
      <c r="I47" s="21"/>
      <c r="J47" s="21"/>
      <c r="K47" s="37"/>
      <c r="L47" s="15" t="s">
        <v>25</v>
      </c>
      <c r="M47" s="34">
        <f t="shared" si="9"/>
        <v>0</v>
      </c>
    </row>
    <row r="48" customHeight="1" spans="1:13">
      <c r="A48" s="16"/>
      <c r="B48" s="13">
        <v>108</v>
      </c>
      <c r="C48" s="14" t="str">
        <f t="shared" si="8"/>
        <v>0x6C</v>
      </c>
      <c r="D48" s="20" t="s">
        <v>69</v>
      </c>
      <c r="E48" s="21"/>
      <c r="F48" s="21"/>
      <c r="G48" s="21"/>
      <c r="H48" s="21"/>
      <c r="I48" s="21"/>
      <c r="J48" s="21"/>
      <c r="K48" s="37"/>
      <c r="L48" s="15" t="s">
        <v>25</v>
      </c>
      <c r="M48" s="34">
        <f t="shared" si="9"/>
        <v>1</v>
      </c>
    </row>
    <row r="49" customHeight="1" spans="1:13">
      <c r="A49" s="16"/>
      <c r="B49" s="13">
        <v>109</v>
      </c>
      <c r="C49" s="14" t="str">
        <f t="shared" si="8"/>
        <v>0x6D</v>
      </c>
      <c r="D49" s="20" t="s">
        <v>70</v>
      </c>
      <c r="E49" s="21"/>
      <c r="F49" s="21"/>
      <c r="G49" s="21"/>
      <c r="H49" s="21"/>
      <c r="I49" s="21"/>
      <c r="J49" s="21"/>
      <c r="K49" s="37"/>
      <c r="L49" s="15" t="s">
        <v>25</v>
      </c>
      <c r="M49" s="34">
        <f t="shared" si="9"/>
        <v>0</v>
      </c>
    </row>
    <row r="50" customHeight="1" spans="1:13">
      <c r="A50" s="16"/>
      <c r="B50" s="13">
        <v>110</v>
      </c>
      <c r="C50" s="14" t="str">
        <f t="shared" si="8"/>
        <v>0x6E</v>
      </c>
      <c r="D50" s="20" t="s">
        <v>71</v>
      </c>
      <c r="E50" s="21"/>
      <c r="F50" s="21"/>
      <c r="G50" s="21"/>
      <c r="H50" s="21"/>
      <c r="I50" s="21"/>
      <c r="J50" s="21"/>
      <c r="K50" s="37"/>
      <c r="L50" s="15" t="s">
        <v>25</v>
      </c>
      <c r="M50" s="34">
        <f t="shared" si="9"/>
        <v>0</v>
      </c>
    </row>
    <row r="51" customHeight="1" spans="1:13">
      <c r="A51" s="16"/>
      <c r="B51" s="13">
        <v>111</v>
      </c>
      <c r="C51" s="14" t="str">
        <f t="shared" si="8"/>
        <v>0x6F</v>
      </c>
      <c r="D51" s="20" t="s">
        <v>72</v>
      </c>
      <c r="E51" s="21"/>
      <c r="F51" s="21"/>
      <c r="G51" s="21"/>
      <c r="H51" s="21"/>
      <c r="I51" s="21"/>
      <c r="J51" s="21"/>
      <c r="K51" s="37"/>
      <c r="L51" s="15" t="s">
        <v>25</v>
      </c>
      <c r="M51" s="34">
        <f t="shared" si="9"/>
        <v>0</v>
      </c>
    </row>
    <row r="52" customHeight="1" spans="1:13">
      <c r="A52" s="16"/>
      <c r="B52" s="13">
        <v>112</v>
      </c>
      <c r="C52" s="14" t="str">
        <f t="shared" si="8"/>
        <v>0x70</v>
      </c>
      <c r="D52" s="20" t="s">
        <v>73</v>
      </c>
      <c r="E52" s="21"/>
      <c r="F52" s="21"/>
      <c r="G52" s="21"/>
      <c r="H52" s="21"/>
      <c r="I52" s="21"/>
      <c r="J52" s="21"/>
      <c r="K52" s="37"/>
      <c r="L52" s="15" t="s">
        <v>25</v>
      </c>
      <c r="M52" s="34">
        <f t="shared" si="9"/>
        <v>1</v>
      </c>
    </row>
    <row r="53" customHeight="1" spans="1:13">
      <c r="A53" s="16"/>
      <c r="B53" s="13">
        <v>113</v>
      </c>
      <c r="C53" s="14" t="str">
        <f t="shared" si="8"/>
        <v>0x71</v>
      </c>
      <c r="D53" s="20" t="s">
        <v>74</v>
      </c>
      <c r="E53" s="21"/>
      <c r="F53" s="21"/>
      <c r="G53" s="21"/>
      <c r="H53" s="21"/>
      <c r="I53" s="21"/>
      <c r="J53" s="21"/>
      <c r="K53" s="37"/>
      <c r="L53" s="15" t="s">
        <v>25</v>
      </c>
      <c r="M53" s="34">
        <f t="shared" si="9"/>
        <v>0</v>
      </c>
    </row>
    <row r="54" spans="1:13">
      <c r="A54" s="16"/>
      <c r="B54" s="13">
        <v>114</v>
      </c>
      <c r="C54" s="14" t="str">
        <f t="shared" si="8"/>
        <v>0x72</v>
      </c>
      <c r="D54" s="20" t="s">
        <v>75</v>
      </c>
      <c r="E54" s="21"/>
      <c r="F54" s="21"/>
      <c r="G54" s="21"/>
      <c r="H54" s="21"/>
      <c r="I54" s="21"/>
      <c r="J54" s="21"/>
      <c r="K54" s="37"/>
      <c r="L54" s="15" t="s">
        <v>25</v>
      </c>
      <c r="M54" s="34">
        <f t="shared" si="9"/>
        <v>0</v>
      </c>
    </row>
    <row r="55" spans="1:13">
      <c r="A55" s="16"/>
      <c r="B55" s="13">
        <v>115</v>
      </c>
      <c r="C55" s="14" t="str">
        <f t="shared" si="8"/>
        <v>0x73</v>
      </c>
      <c r="D55" s="20" t="s">
        <v>76</v>
      </c>
      <c r="E55" s="21"/>
      <c r="F55" s="21"/>
      <c r="G55" s="21"/>
      <c r="H55" s="21"/>
      <c r="I55" s="21"/>
      <c r="J55" s="21"/>
      <c r="K55" s="37"/>
      <c r="L55" s="15" t="s">
        <v>25</v>
      </c>
      <c r="M55" s="34">
        <f t="shared" si="9"/>
        <v>0</v>
      </c>
    </row>
    <row r="56" customHeight="1" spans="1:13">
      <c r="A56" s="16"/>
      <c r="B56" s="13">
        <v>116</v>
      </c>
      <c r="C56" s="14" t="str">
        <f t="shared" ref="C56:C65" si="10">IF(B56&lt;16,"0x0"&amp;DEC2HEX(B56),"0x"&amp;DEC2HEX(B56))</f>
        <v>0x74</v>
      </c>
      <c r="D56" s="20" t="s">
        <v>77</v>
      </c>
      <c r="E56" s="21"/>
      <c r="F56" s="21"/>
      <c r="G56" s="21"/>
      <c r="H56" s="21"/>
      <c r="I56" s="21"/>
      <c r="J56" s="21"/>
      <c r="K56" s="37"/>
      <c r="L56" s="15" t="s">
        <v>25</v>
      </c>
      <c r="M56" s="34">
        <f t="shared" si="9"/>
        <v>1</v>
      </c>
    </row>
    <row r="57" customHeight="1" spans="1:13">
      <c r="A57" s="16"/>
      <c r="B57" s="13">
        <v>117</v>
      </c>
      <c r="C57" s="14" t="str">
        <f t="shared" si="10"/>
        <v>0x75</v>
      </c>
      <c r="D57" s="20" t="s">
        <v>78</v>
      </c>
      <c r="E57" s="21"/>
      <c r="F57" s="21"/>
      <c r="G57" s="21"/>
      <c r="H57" s="21"/>
      <c r="I57" s="21"/>
      <c r="J57" s="21"/>
      <c r="K57" s="37"/>
      <c r="L57" s="15" t="s">
        <v>25</v>
      </c>
      <c r="M57" s="34">
        <f t="shared" si="9"/>
        <v>0</v>
      </c>
    </row>
    <row r="58" customHeight="1" spans="1:13">
      <c r="A58" s="16"/>
      <c r="B58" s="13">
        <v>118</v>
      </c>
      <c r="C58" s="14" t="str">
        <f t="shared" si="10"/>
        <v>0x76</v>
      </c>
      <c r="D58" s="20" t="s">
        <v>79</v>
      </c>
      <c r="E58" s="21"/>
      <c r="F58" s="21"/>
      <c r="G58" s="21"/>
      <c r="H58" s="21"/>
      <c r="I58" s="21"/>
      <c r="J58" s="21"/>
      <c r="K58" s="37"/>
      <c r="L58" s="15" t="s">
        <v>25</v>
      </c>
      <c r="M58" s="34">
        <f t="shared" si="9"/>
        <v>0</v>
      </c>
    </row>
    <row r="59" customHeight="1" spans="1:13">
      <c r="A59" s="16"/>
      <c r="B59" s="13">
        <v>119</v>
      </c>
      <c r="C59" s="14" t="str">
        <f t="shared" si="10"/>
        <v>0x77</v>
      </c>
      <c r="D59" s="20" t="s">
        <v>80</v>
      </c>
      <c r="E59" s="21"/>
      <c r="F59" s="21"/>
      <c r="G59" s="21"/>
      <c r="H59" s="21"/>
      <c r="I59" s="21"/>
      <c r="J59" s="21"/>
      <c r="K59" s="37"/>
      <c r="L59" s="15" t="s">
        <v>25</v>
      </c>
      <c r="M59" s="34">
        <f t="shared" si="9"/>
        <v>0</v>
      </c>
    </row>
    <row r="60" spans="1:13">
      <c r="A60" s="16"/>
      <c r="B60" s="13">
        <v>120</v>
      </c>
      <c r="C60" s="14" t="str">
        <f t="shared" si="10"/>
        <v>0x78</v>
      </c>
      <c r="D60" s="20"/>
      <c r="E60" s="21"/>
      <c r="F60" s="21"/>
      <c r="G60" s="21"/>
      <c r="H60" s="21"/>
      <c r="I60" s="21"/>
      <c r="J60" s="21"/>
      <c r="K60" s="37"/>
      <c r="L60" s="15"/>
      <c r="M60" s="34">
        <f t="shared" ref="M60:M65" si="11">IF(MOD(B60,4)=0,1,0)</f>
        <v>1</v>
      </c>
    </row>
    <row r="61" spans="1:13">
      <c r="A61" s="16"/>
      <c r="B61" s="13">
        <v>121</v>
      </c>
      <c r="C61" s="14" t="str">
        <f t="shared" si="10"/>
        <v>0x79</v>
      </c>
      <c r="D61" s="20"/>
      <c r="E61" s="21"/>
      <c r="F61" s="21"/>
      <c r="G61" s="21"/>
      <c r="H61" s="21"/>
      <c r="I61" s="21"/>
      <c r="J61" s="21"/>
      <c r="K61" s="37"/>
      <c r="L61" s="15"/>
      <c r="M61" s="34">
        <f t="shared" si="11"/>
        <v>0</v>
      </c>
    </row>
    <row r="62" spans="1:13">
      <c r="A62" s="16"/>
      <c r="B62" s="13">
        <v>122</v>
      </c>
      <c r="C62" s="14" t="str">
        <f t="shared" si="10"/>
        <v>0x7A</v>
      </c>
      <c r="D62" s="20"/>
      <c r="E62" s="21"/>
      <c r="F62" s="21"/>
      <c r="G62" s="21"/>
      <c r="H62" s="21"/>
      <c r="I62" s="21"/>
      <c r="J62" s="21"/>
      <c r="K62" s="37"/>
      <c r="L62" s="15"/>
      <c r="M62" s="34">
        <f t="shared" si="11"/>
        <v>0</v>
      </c>
    </row>
    <row r="63" spans="1:13">
      <c r="A63" s="16"/>
      <c r="B63" s="13">
        <v>123</v>
      </c>
      <c r="C63" s="14" t="str">
        <f t="shared" si="10"/>
        <v>0x7B</v>
      </c>
      <c r="D63" s="20"/>
      <c r="E63" s="21"/>
      <c r="F63" s="21"/>
      <c r="G63" s="21"/>
      <c r="H63" s="21"/>
      <c r="I63" s="21"/>
      <c r="J63" s="21"/>
      <c r="K63" s="37"/>
      <c r="L63" s="15"/>
      <c r="M63" s="34">
        <f t="shared" si="11"/>
        <v>0</v>
      </c>
    </row>
    <row r="64" spans="1:13">
      <c r="A64" s="16"/>
      <c r="B64" s="13">
        <v>124</v>
      </c>
      <c r="C64" s="14" t="str">
        <f t="shared" si="10"/>
        <v>0x7C</v>
      </c>
      <c r="D64" s="20"/>
      <c r="E64" s="21"/>
      <c r="F64" s="21"/>
      <c r="G64" s="21"/>
      <c r="H64" s="21"/>
      <c r="I64" s="21"/>
      <c r="J64" s="21"/>
      <c r="K64" s="37"/>
      <c r="L64" s="15"/>
      <c r="M64" s="34">
        <f t="shared" si="11"/>
        <v>1</v>
      </c>
    </row>
    <row r="65" spans="1:13">
      <c r="A65" s="16"/>
      <c r="B65" s="13">
        <v>125</v>
      </c>
      <c r="C65" s="14" t="str">
        <f t="shared" si="10"/>
        <v>0x7D</v>
      </c>
      <c r="D65" s="20"/>
      <c r="E65" s="21"/>
      <c r="F65" s="21"/>
      <c r="G65" s="21"/>
      <c r="H65" s="21"/>
      <c r="I65" s="21"/>
      <c r="J65" s="21"/>
      <c r="K65" s="37"/>
      <c r="L65" s="15"/>
      <c r="M65" s="34">
        <f t="shared" si="11"/>
        <v>0</v>
      </c>
    </row>
    <row r="66" spans="1:13">
      <c r="A66" s="16"/>
      <c r="B66" s="13">
        <v>126</v>
      </c>
      <c r="C66" s="14" t="str">
        <f t="shared" ref="C66:C67" si="12">IF(B66&lt;16,"0x0"&amp;DEC2HEX(B66),"0x"&amp;DEC2HEX(B66))</f>
        <v>0x7E</v>
      </c>
      <c r="D66" s="20"/>
      <c r="E66" s="21"/>
      <c r="F66" s="21"/>
      <c r="G66" s="21"/>
      <c r="H66" s="21"/>
      <c r="I66" s="21"/>
      <c r="J66" s="21"/>
      <c r="K66" s="37"/>
      <c r="L66" s="15"/>
      <c r="M66" s="34">
        <f t="shared" ref="M66:M67" si="13">IF(MOD(B66,4)=0,1,0)</f>
        <v>0</v>
      </c>
    </row>
    <row r="67" spans="1:13">
      <c r="A67" s="16"/>
      <c r="B67" s="13">
        <v>127</v>
      </c>
      <c r="C67" s="14" t="str">
        <f t="shared" si="12"/>
        <v>0x7F</v>
      </c>
      <c r="D67" s="20"/>
      <c r="E67" s="21"/>
      <c r="F67" s="21"/>
      <c r="G67" s="21"/>
      <c r="H67" s="21"/>
      <c r="I67" s="21"/>
      <c r="J67" s="21"/>
      <c r="K67" s="37"/>
      <c r="L67" s="15"/>
      <c r="M67" s="34">
        <f t="shared" si="13"/>
        <v>0</v>
      </c>
    </row>
    <row r="68" spans="1:13">
      <c r="A68" s="42"/>
      <c r="B68" s="42"/>
      <c r="C68" s="43"/>
      <c r="D68" s="44"/>
      <c r="E68" s="44"/>
      <c r="F68" s="44"/>
      <c r="G68" s="44"/>
      <c r="H68" s="44"/>
      <c r="I68" s="44"/>
      <c r="J68" s="44"/>
      <c r="K68" s="44"/>
      <c r="L68" s="40"/>
      <c r="M68" s="45"/>
    </row>
    <row r="69" spans="1:13">
      <c r="A69" s="42"/>
      <c r="B69" s="42"/>
      <c r="C69" s="43"/>
      <c r="D69" s="44"/>
      <c r="E69" s="44"/>
      <c r="F69" s="44"/>
      <c r="G69" s="44"/>
      <c r="H69" s="44"/>
      <c r="I69" s="44"/>
      <c r="J69" s="44"/>
      <c r="K69" s="44"/>
      <c r="L69" s="40"/>
      <c r="M69" s="45"/>
    </row>
    <row r="70" spans="1:13">
      <c r="A70" s="42"/>
      <c r="B70" s="42"/>
      <c r="C70" s="43"/>
      <c r="D70" s="44"/>
      <c r="E70" s="44"/>
      <c r="F70" s="44"/>
      <c r="G70" s="44"/>
      <c r="H70" s="44"/>
      <c r="I70" s="44"/>
      <c r="J70" s="44"/>
      <c r="K70" s="44"/>
      <c r="L70" s="40"/>
      <c r="M70" s="45"/>
    </row>
    <row r="71" spans="1:12">
      <c r="A71" s="45"/>
      <c r="B71" s="42"/>
      <c r="C71" s="43"/>
      <c r="D71" s="44"/>
      <c r="E71" s="44"/>
      <c r="F71" s="44"/>
      <c r="G71" s="44"/>
      <c r="H71" s="44"/>
      <c r="I71" s="44"/>
      <c r="J71" s="44"/>
      <c r="K71" s="44"/>
      <c r="L71" s="40"/>
    </row>
    <row r="72" spans="1:13">
      <c r="A72" s="5" t="s">
        <v>1</v>
      </c>
      <c r="B72" s="6" t="s">
        <v>15</v>
      </c>
      <c r="C72" s="7"/>
      <c r="D72" s="8" t="s">
        <v>16</v>
      </c>
      <c r="E72" s="9"/>
      <c r="F72" s="9"/>
      <c r="G72" s="9"/>
      <c r="H72" s="9"/>
      <c r="I72" s="9"/>
      <c r="J72" s="9"/>
      <c r="K72" s="29"/>
      <c r="L72" s="30" t="s">
        <v>17</v>
      </c>
      <c r="M72" s="34"/>
    </row>
    <row r="73" ht="13.5" customHeight="1" spans="1:13">
      <c r="A73" s="5"/>
      <c r="B73" s="5" t="s">
        <v>19</v>
      </c>
      <c r="C73" s="10" t="s">
        <v>20</v>
      </c>
      <c r="D73" s="11">
        <v>7</v>
      </c>
      <c r="E73" s="11">
        <v>6</v>
      </c>
      <c r="F73" s="11">
        <v>5</v>
      </c>
      <c r="G73" s="11">
        <v>4</v>
      </c>
      <c r="H73" s="11">
        <v>3</v>
      </c>
      <c r="I73" s="11">
        <v>2</v>
      </c>
      <c r="J73" s="11">
        <v>1</v>
      </c>
      <c r="K73" s="11">
        <v>0</v>
      </c>
      <c r="L73" s="32"/>
      <c r="M73" s="34"/>
    </row>
    <row r="74" ht="13.5" customHeight="1" spans="1:13">
      <c r="A74" s="13" t="s">
        <v>81</v>
      </c>
      <c r="B74" s="46">
        <v>0</v>
      </c>
      <c r="C74" s="47" t="str">
        <f>IF(B74&lt;16,"0x0"&amp;DEC2HEX(B74),"0x"&amp;DEC2HEX(B74))</f>
        <v>0x00</v>
      </c>
      <c r="D74" s="48" t="s">
        <v>82</v>
      </c>
      <c r="E74" s="49"/>
      <c r="F74" s="49"/>
      <c r="G74" s="49"/>
      <c r="H74" s="49"/>
      <c r="I74" s="49"/>
      <c r="J74" s="49"/>
      <c r="K74" s="58"/>
      <c r="L74" s="59" t="s">
        <v>25</v>
      </c>
      <c r="M74" s="34">
        <f t="shared" ref="M74:M97" si="14">IF(MOD(B74,4)=0,1,0)</f>
        <v>1</v>
      </c>
    </row>
    <row r="75" ht="42.75" spans="1:13">
      <c r="A75" s="13"/>
      <c r="B75" s="13">
        <v>1</v>
      </c>
      <c r="C75" s="14" t="str">
        <f>IF(B75&lt;16,"0x0"&amp;DEC2HEX(B75),"0x"&amp;DEC2HEX(B75))</f>
        <v>0x01</v>
      </c>
      <c r="D75" s="15" t="s">
        <v>83</v>
      </c>
      <c r="E75" s="15" t="s">
        <v>84</v>
      </c>
      <c r="F75" s="15" t="s">
        <v>85</v>
      </c>
      <c r="G75" s="15" t="s">
        <v>86</v>
      </c>
      <c r="H75" s="15" t="s">
        <v>87</v>
      </c>
      <c r="I75" s="15" t="s">
        <v>88</v>
      </c>
      <c r="J75" s="15" t="s">
        <v>89</v>
      </c>
      <c r="K75" s="15" t="s">
        <v>90</v>
      </c>
      <c r="L75" s="15" t="s">
        <v>25</v>
      </c>
      <c r="M75" s="34">
        <f t="shared" si="14"/>
        <v>0</v>
      </c>
    </row>
    <row r="76" ht="57" spans="1:13">
      <c r="A76" s="13"/>
      <c r="B76" s="46">
        <v>2</v>
      </c>
      <c r="C76" s="14" t="str">
        <f>IF(B76&lt;16,"0x0"&amp;DEC2HEX(B76),"0x"&amp;DEC2HEX(B76))</f>
        <v>0x02</v>
      </c>
      <c r="D76" s="15" t="s">
        <v>91</v>
      </c>
      <c r="E76" s="15" t="s">
        <v>92</v>
      </c>
      <c r="F76" s="15" t="s">
        <v>93</v>
      </c>
      <c r="G76" s="15" t="s">
        <v>94</v>
      </c>
      <c r="H76" s="15" t="s">
        <v>95</v>
      </c>
      <c r="I76" s="15" t="s">
        <v>96</v>
      </c>
      <c r="J76" s="15" t="s">
        <v>97</v>
      </c>
      <c r="K76" s="15" t="s">
        <v>98</v>
      </c>
      <c r="L76" s="15" t="s">
        <v>25</v>
      </c>
      <c r="M76" s="34">
        <f t="shared" si="14"/>
        <v>0</v>
      </c>
    </row>
    <row r="77" ht="28.5" spans="1:13">
      <c r="A77" s="13"/>
      <c r="B77" s="13">
        <v>3</v>
      </c>
      <c r="C77" s="14" t="str">
        <f t="shared" ref="C77:C85" si="15">IF(B77&lt;16,"0x0"&amp;DEC2HEX(B77),"0x"&amp;DEC2HEX(B77))</f>
        <v>0x03</v>
      </c>
      <c r="D77" s="15"/>
      <c r="E77" s="15"/>
      <c r="F77" s="15"/>
      <c r="G77" s="15" t="s">
        <v>99</v>
      </c>
      <c r="H77" s="15" t="s">
        <v>100</v>
      </c>
      <c r="I77" s="15" t="s">
        <v>101</v>
      </c>
      <c r="J77" s="15" t="s">
        <v>102</v>
      </c>
      <c r="K77" s="15" t="s">
        <v>103</v>
      </c>
      <c r="L77" s="15" t="s">
        <v>25</v>
      </c>
      <c r="M77" s="34">
        <f t="shared" si="14"/>
        <v>0</v>
      </c>
    </row>
    <row r="78" customHeight="1" spans="1:13">
      <c r="A78" s="13"/>
      <c r="B78" s="13">
        <v>8</v>
      </c>
      <c r="C78" s="14" t="str">
        <f t="shared" si="15"/>
        <v>0x08</v>
      </c>
      <c r="D78" s="20" t="s">
        <v>104</v>
      </c>
      <c r="E78" s="21"/>
      <c r="F78" s="21"/>
      <c r="G78" s="21"/>
      <c r="H78" s="21"/>
      <c r="I78" s="21"/>
      <c r="J78" s="21"/>
      <c r="K78" s="37"/>
      <c r="L78" s="15" t="s">
        <v>25</v>
      </c>
      <c r="M78" s="34">
        <f t="shared" si="14"/>
        <v>1</v>
      </c>
    </row>
    <row r="79" customHeight="1" spans="1:13">
      <c r="A79" s="13"/>
      <c r="B79" s="13">
        <v>9</v>
      </c>
      <c r="C79" s="14" t="str">
        <f t="shared" si="15"/>
        <v>0x09</v>
      </c>
      <c r="D79" s="20" t="s">
        <v>105</v>
      </c>
      <c r="E79" s="21"/>
      <c r="F79" s="21"/>
      <c r="G79" s="21"/>
      <c r="H79" s="21"/>
      <c r="I79" s="21"/>
      <c r="J79" s="21"/>
      <c r="K79" s="37"/>
      <c r="L79" s="15" t="s">
        <v>25</v>
      </c>
      <c r="M79" s="34">
        <f t="shared" si="14"/>
        <v>0</v>
      </c>
    </row>
    <row r="80" customHeight="1" spans="1:13">
      <c r="A80" s="13"/>
      <c r="B80" s="13">
        <v>10</v>
      </c>
      <c r="C80" s="14" t="str">
        <f t="shared" si="15"/>
        <v>0x0A</v>
      </c>
      <c r="D80" s="20" t="s">
        <v>106</v>
      </c>
      <c r="E80" s="21"/>
      <c r="F80" s="21"/>
      <c r="G80" s="21"/>
      <c r="H80" s="21"/>
      <c r="I80" s="21"/>
      <c r="J80" s="21"/>
      <c r="K80" s="37"/>
      <c r="L80" s="15" t="s">
        <v>25</v>
      </c>
      <c r="M80" s="34">
        <f t="shared" si="14"/>
        <v>0</v>
      </c>
    </row>
    <row r="81" customHeight="1" spans="1:13">
      <c r="A81" s="13"/>
      <c r="B81" s="13">
        <v>11</v>
      </c>
      <c r="C81" s="14" t="str">
        <f t="shared" si="15"/>
        <v>0x0B</v>
      </c>
      <c r="D81" s="20" t="s">
        <v>107</v>
      </c>
      <c r="E81" s="21"/>
      <c r="F81" s="21"/>
      <c r="G81" s="21"/>
      <c r="H81" s="21"/>
      <c r="I81" s="21"/>
      <c r="J81" s="21"/>
      <c r="K81" s="37"/>
      <c r="L81" s="15" t="s">
        <v>25</v>
      </c>
      <c r="M81" s="34">
        <f t="shared" si="14"/>
        <v>0</v>
      </c>
    </row>
    <row r="82" customHeight="1" spans="1:13">
      <c r="A82" s="13"/>
      <c r="B82" s="13">
        <v>12</v>
      </c>
      <c r="C82" s="14" t="str">
        <f t="shared" si="15"/>
        <v>0x0C</v>
      </c>
      <c r="D82" s="20" t="s">
        <v>108</v>
      </c>
      <c r="E82" s="21"/>
      <c r="F82" s="21"/>
      <c r="G82" s="21"/>
      <c r="H82" s="21"/>
      <c r="I82" s="21"/>
      <c r="J82" s="21"/>
      <c r="K82" s="37"/>
      <c r="L82" s="15" t="s">
        <v>25</v>
      </c>
      <c r="M82" s="34">
        <f t="shared" si="14"/>
        <v>1</v>
      </c>
    </row>
    <row r="83" customHeight="1" spans="1:13">
      <c r="A83" s="13"/>
      <c r="B83" s="13">
        <v>13</v>
      </c>
      <c r="C83" s="14" t="str">
        <f t="shared" si="15"/>
        <v>0x0D</v>
      </c>
      <c r="D83" s="20" t="s">
        <v>109</v>
      </c>
      <c r="E83" s="21"/>
      <c r="F83" s="21"/>
      <c r="G83" s="21"/>
      <c r="H83" s="21"/>
      <c r="I83" s="21"/>
      <c r="J83" s="21"/>
      <c r="K83" s="37"/>
      <c r="L83" s="15" t="s">
        <v>25</v>
      </c>
      <c r="M83" s="34">
        <f t="shared" si="14"/>
        <v>0</v>
      </c>
    </row>
    <row r="84" spans="1:13">
      <c r="A84" s="13"/>
      <c r="B84" s="13">
        <v>14</v>
      </c>
      <c r="C84" s="50" t="str">
        <f t="shared" si="15"/>
        <v>0x0E</v>
      </c>
      <c r="D84" s="20" t="s">
        <v>110</v>
      </c>
      <c r="E84" s="21"/>
      <c r="F84" s="21"/>
      <c r="G84" s="21"/>
      <c r="H84" s="21"/>
      <c r="I84" s="21"/>
      <c r="J84" s="21"/>
      <c r="K84" s="37"/>
      <c r="L84" s="15" t="s">
        <v>25</v>
      </c>
      <c r="M84" s="34">
        <f t="shared" si="14"/>
        <v>0</v>
      </c>
    </row>
    <row r="85" spans="1:13">
      <c r="A85" s="13"/>
      <c r="B85" s="51">
        <v>15</v>
      </c>
      <c r="C85" s="50" t="str">
        <f t="shared" si="15"/>
        <v>0x0F</v>
      </c>
      <c r="D85" s="20" t="s">
        <v>111</v>
      </c>
      <c r="E85" s="21"/>
      <c r="F85" s="21"/>
      <c r="G85" s="21"/>
      <c r="H85" s="21"/>
      <c r="I85" s="21"/>
      <c r="J85" s="21"/>
      <c r="K85" s="37"/>
      <c r="L85" s="15" t="s">
        <v>25</v>
      </c>
      <c r="M85" s="34">
        <f t="shared" si="14"/>
        <v>0</v>
      </c>
    </row>
    <row r="86" spans="1:13">
      <c r="A86" s="13"/>
      <c r="B86" s="13">
        <v>16</v>
      </c>
      <c r="C86" s="50" t="str">
        <f t="shared" ref="C86:C89" si="16">IF(B86&lt;16,"0x0"&amp;DEC2HEX(B86),"0x"&amp;DEC2HEX(B86))</f>
        <v>0x10</v>
      </c>
      <c r="D86" s="52" t="s">
        <v>112</v>
      </c>
      <c r="E86" s="53"/>
      <c r="F86" s="53"/>
      <c r="G86" s="53"/>
      <c r="H86" s="53"/>
      <c r="I86" s="53"/>
      <c r="J86" s="53"/>
      <c r="K86" s="60"/>
      <c r="L86" s="15"/>
      <c r="M86" s="34">
        <f t="shared" ref="M86:M89" si="17">IF(MOD(B86,4)=0,1,0)</f>
        <v>1</v>
      </c>
    </row>
    <row r="87" spans="1:13">
      <c r="A87" s="13"/>
      <c r="B87" s="51">
        <v>17</v>
      </c>
      <c r="C87" s="50" t="str">
        <f t="shared" si="16"/>
        <v>0x11</v>
      </c>
      <c r="D87" s="52" t="s">
        <v>113</v>
      </c>
      <c r="E87" s="53"/>
      <c r="F87" s="53"/>
      <c r="G87" s="53"/>
      <c r="H87" s="53"/>
      <c r="I87" s="53"/>
      <c r="J87" s="53"/>
      <c r="K87" s="60"/>
      <c r="L87" s="15"/>
      <c r="M87" s="34">
        <f t="shared" si="17"/>
        <v>0</v>
      </c>
    </row>
    <row r="88" spans="1:13">
      <c r="A88" s="13"/>
      <c r="B88" s="13">
        <v>18</v>
      </c>
      <c r="C88" s="50" t="str">
        <f t="shared" si="16"/>
        <v>0x12</v>
      </c>
      <c r="D88" s="52" t="s">
        <v>114</v>
      </c>
      <c r="E88" s="53"/>
      <c r="F88" s="53"/>
      <c r="G88" s="53"/>
      <c r="H88" s="53"/>
      <c r="I88" s="53"/>
      <c r="J88" s="53"/>
      <c r="K88" s="60"/>
      <c r="L88" s="15"/>
      <c r="M88" s="34">
        <f t="shared" si="17"/>
        <v>0</v>
      </c>
    </row>
    <row r="89" spans="1:13">
      <c r="A89" s="13"/>
      <c r="B89" s="51">
        <v>19</v>
      </c>
      <c r="C89" s="50" t="str">
        <f t="shared" si="16"/>
        <v>0x13</v>
      </c>
      <c r="D89" s="52" t="s">
        <v>115</v>
      </c>
      <c r="E89" s="53"/>
      <c r="F89" s="53"/>
      <c r="G89" s="53"/>
      <c r="H89" s="53"/>
      <c r="I89" s="53"/>
      <c r="J89" s="53"/>
      <c r="K89" s="60"/>
      <c r="L89" s="15"/>
      <c r="M89" s="34">
        <f t="shared" si="17"/>
        <v>0</v>
      </c>
    </row>
    <row r="90" spans="1:13">
      <c r="A90" s="13"/>
      <c r="B90" s="13">
        <v>20</v>
      </c>
      <c r="C90" s="50" t="str">
        <f t="shared" ref="C90:C93" si="18">IF(B90&lt;16,"0x0"&amp;DEC2HEX(B90),"0x"&amp;DEC2HEX(B90))</f>
        <v>0x14</v>
      </c>
      <c r="D90" s="52" t="s">
        <v>116</v>
      </c>
      <c r="E90" s="53"/>
      <c r="F90" s="53"/>
      <c r="G90" s="53"/>
      <c r="H90" s="53"/>
      <c r="I90" s="53"/>
      <c r="J90" s="53"/>
      <c r="K90" s="60"/>
      <c r="L90" s="15" t="s">
        <v>25</v>
      </c>
      <c r="M90" s="34">
        <f t="shared" si="14"/>
        <v>1</v>
      </c>
    </row>
    <row r="91" spans="1:13">
      <c r="A91" s="13"/>
      <c r="B91" s="51">
        <v>21</v>
      </c>
      <c r="C91" s="50" t="str">
        <f t="shared" si="18"/>
        <v>0x15</v>
      </c>
      <c r="D91" s="52" t="s">
        <v>117</v>
      </c>
      <c r="E91" s="53"/>
      <c r="F91" s="53"/>
      <c r="G91" s="53"/>
      <c r="H91" s="53"/>
      <c r="I91" s="53"/>
      <c r="J91" s="53"/>
      <c r="K91" s="60"/>
      <c r="L91" s="15" t="s">
        <v>25</v>
      </c>
      <c r="M91" s="34">
        <f t="shared" si="14"/>
        <v>0</v>
      </c>
    </row>
    <row r="92" spans="1:13">
      <c r="A92" s="13"/>
      <c r="B92" s="13">
        <v>22</v>
      </c>
      <c r="C92" s="50" t="str">
        <f t="shared" si="18"/>
        <v>0x16</v>
      </c>
      <c r="D92" s="52" t="s">
        <v>118</v>
      </c>
      <c r="E92" s="53"/>
      <c r="F92" s="53"/>
      <c r="G92" s="53"/>
      <c r="H92" s="53"/>
      <c r="I92" s="53"/>
      <c r="J92" s="53"/>
      <c r="K92" s="60"/>
      <c r="L92" s="15" t="s">
        <v>25</v>
      </c>
      <c r="M92" s="34">
        <f t="shared" si="14"/>
        <v>0</v>
      </c>
    </row>
    <row r="93" spans="1:13">
      <c r="A93" s="13"/>
      <c r="B93" s="51">
        <v>23</v>
      </c>
      <c r="C93" s="50" t="str">
        <f t="shared" si="18"/>
        <v>0x17</v>
      </c>
      <c r="D93" s="52" t="s">
        <v>119</v>
      </c>
      <c r="E93" s="53"/>
      <c r="F93" s="53"/>
      <c r="G93" s="53"/>
      <c r="H93" s="53"/>
      <c r="I93" s="53"/>
      <c r="J93" s="53"/>
      <c r="K93" s="60"/>
      <c r="L93" s="15" t="s">
        <v>25</v>
      </c>
      <c r="M93" s="34">
        <f t="shared" si="14"/>
        <v>0</v>
      </c>
    </row>
    <row r="94" spans="1:13">
      <c r="A94" s="13"/>
      <c r="B94" s="51"/>
      <c r="C94" s="50"/>
      <c r="D94" s="52"/>
      <c r="E94" s="53"/>
      <c r="F94" s="53"/>
      <c r="G94" s="53"/>
      <c r="H94" s="53"/>
      <c r="I94" s="53"/>
      <c r="J94" s="53"/>
      <c r="K94" s="60"/>
      <c r="L94" s="15" t="s">
        <v>25</v>
      </c>
      <c r="M94" s="34">
        <f t="shared" si="14"/>
        <v>1</v>
      </c>
    </row>
    <row r="95" spans="1:13">
      <c r="A95" s="13"/>
      <c r="B95" s="51"/>
      <c r="C95" s="50"/>
      <c r="D95" s="52"/>
      <c r="E95" s="53"/>
      <c r="F95" s="53"/>
      <c r="G95" s="53"/>
      <c r="H95" s="53"/>
      <c r="I95" s="53"/>
      <c r="J95" s="53"/>
      <c r="K95" s="60"/>
      <c r="L95" s="15" t="s">
        <v>25</v>
      </c>
      <c r="M95" s="34">
        <f t="shared" si="14"/>
        <v>1</v>
      </c>
    </row>
    <row r="96" spans="1:13">
      <c r="A96" s="13"/>
      <c r="B96" s="51"/>
      <c r="C96" s="50"/>
      <c r="D96" s="52"/>
      <c r="E96" s="53"/>
      <c r="F96" s="53"/>
      <c r="G96" s="53"/>
      <c r="H96" s="53"/>
      <c r="I96" s="53"/>
      <c r="J96" s="53"/>
      <c r="K96" s="60"/>
      <c r="L96" s="15" t="s">
        <v>25</v>
      </c>
      <c r="M96" s="34">
        <f t="shared" si="14"/>
        <v>1</v>
      </c>
    </row>
    <row r="97" spans="1:13">
      <c r="A97" s="13"/>
      <c r="B97" s="51"/>
      <c r="C97" s="50"/>
      <c r="D97" s="52"/>
      <c r="E97" s="53"/>
      <c r="F97" s="53"/>
      <c r="G97" s="53"/>
      <c r="H97" s="53"/>
      <c r="I97" s="53"/>
      <c r="J97" s="53"/>
      <c r="K97" s="60"/>
      <c r="L97" s="15" t="s">
        <v>25</v>
      </c>
      <c r="M97" s="34">
        <f t="shared" si="14"/>
        <v>1</v>
      </c>
    </row>
    <row r="98" spans="1:13">
      <c r="A98" s="13"/>
      <c r="B98" s="13"/>
      <c r="C98" s="50"/>
      <c r="D98" s="52" t="s">
        <v>120</v>
      </c>
      <c r="E98" s="53"/>
      <c r="F98" s="53"/>
      <c r="G98" s="53"/>
      <c r="H98" s="53"/>
      <c r="I98" s="53"/>
      <c r="J98" s="53"/>
      <c r="K98" s="60"/>
      <c r="L98" s="15"/>
      <c r="M98" s="34"/>
    </row>
    <row r="99" spans="1:13">
      <c r="A99" s="13"/>
      <c r="B99" s="13">
        <v>100</v>
      </c>
      <c r="C99" s="50" t="str">
        <f t="shared" ref="C99:C102" si="19">IF(B99&lt;16,"0x0"&amp;DEC2HEX(B99),"0x"&amp;DEC2HEX(B99))</f>
        <v>0x64</v>
      </c>
      <c r="D99" s="54" t="s">
        <v>121</v>
      </c>
      <c r="E99" s="55"/>
      <c r="F99" s="55"/>
      <c r="G99" s="55"/>
      <c r="H99" s="55"/>
      <c r="I99" s="55"/>
      <c r="J99" s="55"/>
      <c r="K99" s="61"/>
      <c r="L99" s="15" t="s">
        <v>25</v>
      </c>
      <c r="M99" s="34">
        <f t="shared" ref="M99:M103" si="20">IF(MOD(B99,4)=0,1,0)</f>
        <v>1</v>
      </c>
    </row>
    <row r="100" spans="1:13">
      <c r="A100" s="13"/>
      <c r="B100" s="13">
        <v>101</v>
      </c>
      <c r="C100" s="50" t="str">
        <f t="shared" si="19"/>
        <v>0x65</v>
      </c>
      <c r="D100" s="54" t="s">
        <v>122</v>
      </c>
      <c r="E100" s="55"/>
      <c r="F100" s="55"/>
      <c r="G100" s="55"/>
      <c r="H100" s="55"/>
      <c r="I100" s="55"/>
      <c r="J100" s="55"/>
      <c r="K100" s="61"/>
      <c r="L100" s="15" t="s">
        <v>25</v>
      </c>
      <c r="M100" s="34">
        <f t="shared" si="20"/>
        <v>0</v>
      </c>
    </row>
    <row r="101" spans="1:13">
      <c r="A101" s="13"/>
      <c r="B101" s="13">
        <v>102</v>
      </c>
      <c r="C101" s="50" t="str">
        <f t="shared" si="19"/>
        <v>0x66</v>
      </c>
      <c r="D101" s="54" t="s">
        <v>123</v>
      </c>
      <c r="E101" s="55"/>
      <c r="F101" s="55"/>
      <c r="G101" s="55"/>
      <c r="H101" s="55"/>
      <c r="I101" s="55"/>
      <c r="J101" s="55"/>
      <c r="K101" s="61"/>
      <c r="L101" s="15" t="s">
        <v>25</v>
      </c>
      <c r="M101" s="34">
        <f t="shared" si="20"/>
        <v>0</v>
      </c>
    </row>
    <row r="102" spans="1:13">
      <c r="A102" s="13"/>
      <c r="B102" s="13">
        <v>103</v>
      </c>
      <c r="C102" s="50" t="str">
        <f t="shared" si="19"/>
        <v>0x67</v>
      </c>
      <c r="D102" s="54" t="s">
        <v>124</v>
      </c>
      <c r="E102" s="55"/>
      <c r="F102" s="55"/>
      <c r="G102" s="55"/>
      <c r="H102" s="55"/>
      <c r="I102" s="55"/>
      <c r="J102" s="55"/>
      <c r="K102" s="61"/>
      <c r="L102" s="15" t="s">
        <v>25</v>
      </c>
      <c r="M102" s="34">
        <f t="shared" si="20"/>
        <v>0</v>
      </c>
    </row>
    <row r="103" spans="1:13">
      <c r="A103" s="13"/>
      <c r="B103" s="13">
        <v>104</v>
      </c>
      <c r="C103" s="50" t="str">
        <f t="shared" ref="C103" si="21">IF(B103&lt;16,"0x0"&amp;DEC2HEX(B103),"0x"&amp;DEC2HEX(B103))</f>
        <v>0x68</v>
      </c>
      <c r="D103" s="20" t="s">
        <v>65</v>
      </c>
      <c r="E103" s="21"/>
      <c r="F103" s="21"/>
      <c r="G103" s="21"/>
      <c r="H103" s="21"/>
      <c r="I103" s="21"/>
      <c r="J103" s="21"/>
      <c r="K103" s="37"/>
      <c r="L103" s="15" t="s">
        <v>25</v>
      </c>
      <c r="M103" s="34">
        <f t="shared" si="20"/>
        <v>1</v>
      </c>
    </row>
    <row r="104" spans="1:13">
      <c r="A104" s="13"/>
      <c r="B104" s="13">
        <v>105</v>
      </c>
      <c r="C104" s="14" t="str">
        <f t="shared" ref="C104:C124" si="22">IF(B104&lt;16,"0x0"&amp;DEC2HEX(B104),"0x"&amp;DEC2HEX(B104))</f>
        <v>0x69</v>
      </c>
      <c r="D104" s="20" t="s">
        <v>66</v>
      </c>
      <c r="E104" s="21"/>
      <c r="F104" s="21"/>
      <c r="G104" s="21"/>
      <c r="H104" s="21"/>
      <c r="I104" s="21"/>
      <c r="J104" s="21"/>
      <c r="K104" s="37"/>
      <c r="L104" s="15" t="s">
        <v>25</v>
      </c>
      <c r="M104" s="34">
        <f t="shared" ref="M104:M118" si="23">IF(MOD(B104,4)=0,1,0)</f>
        <v>0</v>
      </c>
    </row>
    <row r="105" spans="1:13">
      <c r="A105" s="13"/>
      <c r="B105" s="13">
        <v>106</v>
      </c>
      <c r="C105" s="50" t="str">
        <f t="shared" si="22"/>
        <v>0x6A</v>
      </c>
      <c r="D105" s="20" t="s">
        <v>67</v>
      </c>
      <c r="E105" s="21"/>
      <c r="F105" s="21"/>
      <c r="G105" s="21"/>
      <c r="H105" s="21"/>
      <c r="I105" s="21"/>
      <c r="J105" s="21"/>
      <c r="K105" s="37"/>
      <c r="L105" s="15" t="s">
        <v>25</v>
      </c>
      <c r="M105" s="34">
        <f t="shared" si="23"/>
        <v>0</v>
      </c>
    </row>
    <row r="106" spans="1:13">
      <c r="A106" s="13"/>
      <c r="B106" s="13">
        <v>107</v>
      </c>
      <c r="C106" s="14" t="str">
        <f t="shared" si="22"/>
        <v>0x6B</v>
      </c>
      <c r="D106" s="20" t="s">
        <v>68</v>
      </c>
      <c r="E106" s="21"/>
      <c r="F106" s="21"/>
      <c r="G106" s="21"/>
      <c r="H106" s="21"/>
      <c r="I106" s="21"/>
      <c r="J106" s="21"/>
      <c r="K106" s="37"/>
      <c r="L106" s="15" t="s">
        <v>25</v>
      </c>
      <c r="M106" s="34">
        <f t="shared" si="23"/>
        <v>0</v>
      </c>
    </row>
    <row r="107" spans="1:13">
      <c r="A107" s="13"/>
      <c r="B107" s="13">
        <v>108</v>
      </c>
      <c r="C107" s="50" t="str">
        <f t="shared" si="22"/>
        <v>0x6C</v>
      </c>
      <c r="D107" s="20" t="s">
        <v>69</v>
      </c>
      <c r="E107" s="21"/>
      <c r="F107" s="21"/>
      <c r="G107" s="21"/>
      <c r="H107" s="21"/>
      <c r="I107" s="21"/>
      <c r="J107" s="21"/>
      <c r="K107" s="37"/>
      <c r="L107" s="15" t="s">
        <v>25</v>
      </c>
      <c r="M107" s="34">
        <f t="shared" si="23"/>
        <v>1</v>
      </c>
    </row>
    <row r="108" spans="1:13">
      <c r="A108" s="13"/>
      <c r="B108" s="13">
        <v>109</v>
      </c>
      <c r="C108" s="14" t="str">
        <f t="shared" si="22"/>
        <v>0x6D</v>
      </c>
      <c r="D108" s="20" t="s">
        <v>70</v>
      </c>
      <c r="E108" s="21"/>
      <c r="F108" s="21"/>
      <c r="G108" s="21"/>
      <c r="H108" s="21"/>
      <c r="I108" s="21"/>
      <c r="J108" s="21"/>
      <c r="K108" s="37"/>
      <c r="L108" s="15" t="s">
        <v>25</v>
      </c>
      <c r="M108" s="34">
        <f t="shared" si="23"/>
        <v>0</v>
      </c>
    </row>
    <row r="109" spans="1:13">
      <c r="A109" s="13"/>
      <c r="B109" s="13">
        <v>110</v>
      </c>
      <c r="C109" s="50" t="str">
        <f t="shared" si="22"/>
        <v>0x6E</v>
      </c>
      <c r="D109" s="20" t="s">
        <v>71</v>
      </c>
      <c r="E109" s="21"/>
      <c r="F109" s="21"/>
      <c r="G109" s="21"/>
      <c r="H109" s="21"/>
      <c r="I109" s="21"/>
      <c r="J109" s="21"/>
      <c r="K109" s="37"/>
      <c r="L109" s="15" t="s">
        <v>25</v>
      </c>
      <c r="M109" s="34">
        <f t="shared" si="23"/>
        <v>0</v>
      </c>
    </row>
    <row r="110" spans="1:13">
      <c r="A110" s="13"/>
      <c r="B110" s="13">
        <v>111</v>
      </c>
      <c r="C110" s="14" t="str">
        <f t="shared" si="22"/>
        <v>0x6F</v>
      </c>
      <c r="D110" s="20" t="s">
        <v>72</v>
      </c>
      <c r="E110" s="21"/>
      <c r="F110" s="21"/>
      <c r="G110" s="21"/>
      <c r="H110" s="21"/>
      <c r="I110" s="21"/>
      <c r="J110" s="21"/>
      <c r="K110" s="37"/>
      <c r="L110" s="15" t="s">
        <v>25</v>
      </c>
      <c r="M110" s="34">
        <f t="shared" si="23"/>
        <v>0</v>
      </c>
    </row>
    <row r="111" spans="1:13">
      <c r="A111" s="13"/>
      <c r="B111" s="13">
        <v>112</v>
      </c>
      <c r="C111" s="50" t="str">
        <f t="shared" si="22"/>
        <v>0x70</v>
      </c>
      <c r="D111" s="20" t="s">
        <v>73</v>
      </c>
      <c r="E111" s="21"/>
      <c r="F111" s="21"/>
      <c r="G111" s="21"/>
      <c r="H111" s="21"/>
      <c r="I111" s="21"/>
      <c r="J111" s="21"/>
      <c r="K111" s="37"/>
      <c r="L111" s="15" t="s">
        <v>25</v>
      </c>
      <c r="M111" s="34">
        <f t="shared" si="23"/>
        <v>1</v>
      </c>
    </row>
    <row r="112" spans="1:13">
      <c r="A112" s="13"/>
      <c r="B112" s="13">
        <v>113</v>
      </c>
      <c r="C112" s="14" t="str">
        <f t="shared" si="22"/>
        <v>0x71</v>
      </c>
      <c r="D112" s="20" t="s">
        <v>74</v>
      </c>
      <c r="E112" s="21"/>
      <c r="F112" s="21"/>
      <c r="G112" s="21"/>
      <c r="H112" s="21"/>
      <c r="I112" s="21"/>
      <c r="J112" s="21"/>
      <c r="K112" s="37"/>
      <c r="L112" s="15" t="s">
        <v>25</v>
      </c>
      <c r="M112" s="34">
        <f t="shared" si="23"/>
        <v>0</v>
      </c>
    </row>
    <row r="113" spans="1:13">
      <c r="A113" s="13"/>
      <c r="B113" s="13">
        <v>114</v>
      </c>
      <c r="C113" s="50" t="str">
        <f t="shared" si="22"/>
        <v>0x72</v>
      </c>
      <c r="D113" s="20" t="s">
        <v>75</v>
      </c>
      <c r="E113" s="21"/>
      <c r="F113" s="21"/>
      <c r="G113" s="21"/>
      <c r="H113" s="21"/>
      <c r="I113" s="21"/>
      <c r="J113" s="21"/>
      <c r="K113" s="37"/>
      <c r="L113" s="15" t="s">
        <v>25</v>
      </c>
      <c r="M113" s="34">
        <f t="shared" si="23"/>
        <v>0</v>
      </c>
    </row>
    <row r="114" spans="1:13">
      <c r="A114" s="13"/>
      <c r="B114" s="13">
        <v>115</v>
      </c>
      <c r="C114" s="14" t="str">
        <f t="shared" si="22"/>
        <v>0x73</v>
      </c>
      <c r="D114" s="20" t="s">
        <v>76</v>
      </c>
      <c r="E114" s="21"/>
      <c r="F114" s="21"/>
      <c r="G114" s="21"/>
      <c r="H114" s="21"/>
      <c r="I114" s="21"/>
      <c r="J114" s="21"/>
      <c r="K114" s="37"/>
      <c r="L114" s="15" t="s">
        <v>25</v>
      </c>
      <c r="M114" s="34">
        <f t="shared" si="23"/>
        <v>0</v>
      </c>
    </row>
    <row r="115" spans="1:13">
      <c r="A115" s="13"/>
      <c r="B115" s="13">
        <v>116</v>
      </c>
      <c r="C115" s="50" t="str">
        <f t="shared" si="22"/>
        <v>0x74</v>
      </c>
      <c r="D115" s="20" t="s">
        <v>77</v>
      </c>
      <c r="E115" s="21"/>
      <c r="F115" s="21"/>
      <c r="G115" s="21"/>
      <c r="H115" s="21"/>
      <c r="I115" s="21"/>
      <c r="J115" s="21"/>
      <c r="K115" s="37"/>
      <c r="L115" s="15" t="s">
        <v>25</v>
      </c>
      <c r="M115" s="34">
        <f t="shared" si="23"/>
        <v>1</v>
      </c>
    </row>
    <row r="116" spans="1:13">
      <c r="A116" s="13"/>
      <c r="B116" s="13">
        <v>117</v>
      </c>
      <c r="C116" s="14" t="str">
        <f t="shared" si="22"/>
        <v>0x75</v>
      </c>
      <c r="D116" s="20" t="s">
        <v>78</v>
      </c>
      <c r="E116" s="21"/>
      <c r="F116" s="21"/>
      <c r="G116" s="21"/>
      <c r="H116" s="21"/>
      <c r="I116" s="21"/>
      <c r="J116" s="21"/>
      <c r="K116" s="37"/>
      <c r="L116" s="15" t="s">
        <v>25</v>
      </c>
      <c r="M116" s="34">
        <f t="shared" si="23"/>
        <v>0</v>
      </c>
    </row>
    <row r="117" spans="1:13">
      <c r="A117" s="13"/>
      <c r="B117" s="13">
        <v>118</v>
      </c>
      <c r="C117" s="50" t="str">
        <f t="shared" si="22"/>
        <v>0x76</v>
      </c>
      <c r="D117" s="20" t="s">
        <v>79</v>
      </c>
      <c r="E117" s="21"/>
      <c r="F117" s="21"/>
      <c r="G117" s="21"/>
      <c r="H117" s="21"/>
      <c r="I117" s="21"/>
      <c r="J117" s="21"/>
      <c r="K117" s="37"/>
      <c r="L117" s="15" t="s">
        <v>25</v>
      </c>
      <c r="M117" s="34">
        <f t="shared" si="23"/>
        <v>0</v>
      </c>
    </row>
    <row r="118" spans="1:13">
      <c r="A118" s="13"/>
      <c r="B118" s="13">
        <v>119</v>
      </c>
      <c r="C118" s="14" t="str">
        <f t="shared" si="22"/>
        <v>0x77</v>
      </c>
      <c r="D118" s="20" t="s">
        <v>80</v>
      </c>
      <c r="E118" s="21"/>
      <c r="F118" s="21"/>
      <c r="G118" s="21"/>
      <c r="H118" s="21"/>
      <c r="I118" s="21"/>
      <c r="J118" s="21"/>
      <c r="K118" s="37"/>
      <c r="L118" s="15" t="s">
        <v>25</v>
      </c>
      <c r="M118" s="34">
        <f t="shared" si="23"/>
        <v>0</v>
      </c>
    </row>
    <row r="119" spans="1:13">
      <c r="A119" s="13"/>
      <c r="B119" s="13">
        <v>120</v>
      </c>
      <c r="C119" s="50" t="str">
        <f t="shared" si="22"/>
        <v>0x78</v>
      </c>
      <c r="D119" s="52"/>
      <c r="E119" s="53"/>
      <c r="F119" s="53"/>
      <c r="G119" s="53"/>
      <c r="H119" s="53"/>
      <c r="I119" s="53"/>
      <c r="J119" s="53"/>
      <c r="K119" s="60"/>
      <c r="L119" s="15"/>
      <c r="M119" s="34"/>
    </row>
    <row r="120" spans="1:13">
      <c r="A120" s="13"/>
      <c r="B120" s="13">
        <v>121</v>
      </c>
      <c r="C120" s="14" t="str">
        <f t="shared" si="22"/>
        <v>0x79</v>
      </c>
      <c r="D120" s="52"/>
      <c r="E120" s="53"/>
      <c r="F120" s="53"/>
      <c r="G120" s="53"/>
      <c r="H120" s="53"/>
      <c r="I120" s="53"/>
      <c r="J120" s="53"/>
      <c r="K120" s="60"/>
      <c r="L120" s="15"/>
      <c r="M120" s="34"/>
    </row>
    <row r="121" spans="1:13">
      <c r="A121" s="13"/>
      <c r="B121" s="13">
        <v>122</v>
      </c>
      <c r="C121" s="50" t="str">
        <f t="shared" si="22"/>
        <v>0x7A</v>
      </c>
      <c r="D121" s="52"/>
      <c r="E121" s="53"/>
      <c r="F121" s="53"/>
      <c r="G121" s="53"/>
      <c r="H121" s="53"/>
      <c r="I121" s="53"/>
      <c r="J121" s="53"/>
      <c r="K121" s="60"/>
      <c r="L121" s="15"/>
      <c r="M121" s="34"/>
    </row>
    <row r="122" spans="1:13">
      <c r="A122" s="13"/>
      <c r="B122" s="13">
        <v>123</v>
      </c>
      <c r="C122" s="14" t="str">
        <f t="shared" si="22"/>
        <v>0x7B</v>
      </c>
      <c r="D122" s="52"/>
      <c r="E122" s="53"/>
      <c r="F122" s="53"/>
      <c r="G122" s="53"/>
      <c r="H122" s="53"/>
      <c r="I122" s="53"/>
      <c r="J122" s="53"/>
      <c r="K122" s="60"/>
      <c r="L122" s="15"/>
      <c r="M122" s="34"/>
    </row>
    <row r="123" spans="1:13">
      <c r="A123" s="13"/>
      <c r="B123" s="13">
        <v>124</v>
      </c>
      <c r="C123" s="50" t="str">
        <f t="shared" si="22"/>
        <v>0x7C</v>
      </c>
      <c r="D123" s="52"/>
      <c r="E123" s="53"/>
      <c r="F123" s="53"/>
      <c r="G123" s="53"/>
      <c r="H123" s="53"/>
      <c r="I123" s="53"/>
      <c r="J123" s="53"/>
      <c r="K123" s="60"/>
      <c r="L123" s="15"/>
      <c r="M123" s="34"/>
    </row>
    <row r="124" spans="1:13">
      <c r="A124" s="13"/>
      <c r="B124" s="13">
        <v>125</v>
      </c>
      <c r="C124" s="14" t="str">
        <f t="shared" si="22"/>
        <v>0x7D</v>
      </c>
      <c r="D124" s="52"/>
      <c r="E124" s="53"/>
      <c r="F124" s="53"/>
      <c r="G124" s="53"/>
      <c r="H124" s="53"/>
      <c r="I124" s="53"/>
      <c r="J124" s="53"/>
      <c r="K124" s="60"/>
      <c r="L124" s="15"/>
      <c r="M124" s="34"/>
    </row>
    <row r="125" spans="1:13">
      <c r="A125" s="13"/>
      <c r="B125" s="13">
        <v>126</v>
      </c>
      <c r="C125" s="50" t="str">
        <f t="shared" ref="C125" si="24">IF(B125&lt;16,"0x0"&amp;DEC2HEX(B125),"0x"&amp;DEC2HEX(B125))</f>
        <v>0x7E</v>
      </c>
      <c r="D125" s="20" t="s">
        <v>120</v>
      </c>
      <c r="E125" s="21"/>
      <c r="F125" s="21"/>
      <c r="G125" s="21"/>
      <c r="H125" s="21"/>
      <c r="I125" s="21"/>
      <c r="J125" s="21"/>
      <c r="K125" s="37"/>
      <c r="L125" s="15"/>
      <c r="M125" s="34"/>
    </row>
    <row r="126" spans="1:13">
      <c r="A126" s="13"/>
      <c r="B126" s="13">
        <v>127</v>
      </c>
      <c r="C126" s="14" t="str">
        <f t="shared" ref="C126" si="25">IF(B126&lt;16,"0x0"&amp;DEC2HEX(B126),"0x"&amp;DEC2HEX(B126))</f>
        <v>0x7F</v>
      </c>
      <c r="D126" s="20"/>
      <c r="E126" s="21"/>
      <c r="F126" s="21"/>
      <c r="G126" s="21"/>
      <c r="H126" s="21"/>
      <c r="I126" s="21"/>
      <c r="J126" s="21"/>
      <c r="K126" s="37"/>
      <c r="L126" s="15" t="s">
        <v>25</v>
      </c>
      <c r="M126" s="34">
        <f t="shared" ref="M126" si="26">IF(MOD(B126,4)=0,1,0)</f>
        <v>0</v>
      </c>
    </row>
    <row r="127" spans="1:2">
      <c r="A127" s="56"/>
      <c r="B127" s="57"/>
    </row>
    <row r="128" spans="1:2">
      <c r="A128" s="56"/>
      <c r="B128" s="57"/>
    </row>
    <row r="129" spans="1:2">
      <c r="A129" s="56"/>
      <c r="B129" s="57"/>
    </row>
    <row r="130" spans="1:2">
      <c r="A130" s="56"/>
      <c r="B130" s="57"/>
    </row>
    <row r="131" spans="1:2">
      <c r="A131" s="56"/>
      <c r="B131" s="57"/>
    </row>
    <row r="132" spans="1:2">
      <c r="A132" s="56"/>
      <c r="B132" s="57"/>
    </row>
    <row r="133" spans="1:2">
      <c r="A133" s="56"/>
      <c r="B133" s="57"/>
    </row>
    <row r="134" spans="1:2">
      <c r="A134" s="56"/>
      <c r="B134" s="57"/>
    </row>
    <row r="135" spans="1:2">
      <c r="A135" s="56"/>
      <c r="B135" s="57"/>
    </row>
    <row r="136" spans="1:2">
      <c r="A136" s="56"/>
      <c r="B136" s="57"/>
    </row>
    <row r="137" spans="1:2">
      <c r="A137" s="56"/>
      <c r="B137" s="57"/>
    </row>
    <row r="138" spans="1:2">
      <c r="A138" s="56"/>
      <c r="B138" s="57"/>
    </row>
    <row r="139" spans="1:1">
      <c r="A139" s="56"/>
    </row>
    <row r="140" spans="1:12">
      <c r="A140" s="5" t="s">
        <v>1</v>
      </c>
      <c r="B140" s="62" t="s">
        <v>15</v>
      </c>
      <c r="C140" s="62"/>
      <c r="D140" s="5" t="s">
        <v>16</v>
      </c>
      <c r="E140" s="5"/>
      <c r="F140" s="5"/>
      <c r="G140" s="5"/>
      <c r="H140" s="5"/>
      <c r="I140" s="5"/>
      <c r="J140" s="5"/>
      <c r="K140" s="5"/>
      <c r="L140" s="5" t="s">
        <v>17</v>
      </c>
    </row>
    <row r="141" customHeight="1" spans="1:12">
      <c r="A141" s="5"/>
      <c r="B141" s="5" t="s">
        <v>19</v>
      </c>
      <c r="C141" s="10" t="s">
        <v>20</v>
      </c>
      <c r="D141" s="11">
        <v>7</v>
      </c>
      <c r="E141" s="11">
        <v>6</v>
      </c>
      <c r="F141" s="11">
        <v>5</v>
      </c>
      <c r="G141" s="11">
        <v>4</v>
      </c>
      <c r="H141" s="11">
        <v>3</v>
      </c>
      <c r="I141" s="11">
        <v>2</v>
      </c>
      <c r="J141" s="11">
        <v>1</v>
      </c>
      <c r="K141" s="11">
        <v>0</v>
      </c>
      <c r="L141" s="5"/>
    </row>
    <row r="142" customHeight="1" spans="1:13">
      <c r="A142" s="12" t="s">
        <v>125</v>
      </c>
      <c r="B142" s="13">
        <v>0</v>
      </c>
      <c r="C142" s="14" t="str">
        <f>IF(B142&lt;16,"0x0"&amp;DEC2HEX(B142),"0x"&amp;DEC2HEX(B142))</f>
        <v>0x00</v>
      </c>
      <c r="D142" s="63"/>
      <c r="E142" s="63"/>
      <c r="F142" s="63"/>
      <c r="G142" s="63"/>
      <c r="H142" s="63"/>
      <c r="I142" s="63"/>
      <c r="J142" s="63"/>
      <c r="K142" s="63"/>
      <c r="L142" s="15" t="s">
        <v>25</v>
      </c>
      <c r="M142">
        <f t="shared" ref="M142:M150" si="27">IF(MOD(B142,4)=0,1,0)</f>
        <v>1</v>
      </c>
    </row>
    <row r="143" customHeight="1" spans="1:13">
      <c r="A143" s="16"/>
      <c r="B143" s="13">
        <v>1</v>
      </c>
      <c r="C143" s="14" t="str">
        <f t="shared" ref="C143:C144" si="28">IF(B143&lt;16,"0x0"&amp;DEC2HEX(B143),"0x"&amp;DEC2HEX(B143))</f>
        <v>0x01</v>
      </c>
      <c r="D143" s="63"/>
      <c r="E143" s="63"/>
      <c r="F143" s="63"/>
      <c r="G143" s="63"/>
      <c r="H143" s="63"/>
      <c r="I143" s="63"/>
      <c r="J143" s="63"/>
      <c r="K143" s="63"/>
      <c r="L143" s="15" t="s">
        <v>25</v>
      </c>
      <c r="M143">
        <f t="shared" si="27"/>
        <v>0</v>
      </c>
    </row>
    <row r="144" customHeight="1" spans="1:13">
      <c r="A144" s="16"/>
      <c r="B144" s="13">
        <v>2</v>
      </c>
      <c r="C144" s="14" t="str">
        <f t="shared" si="28"/>
        <v>0x02</v>
      </c>
      <c r="D144" s="63"/>
      <c r="E144" s="63"/>
      <c r="F144" s="63"/>
      <c r="G144" s="63"/>
      <c r="H144" s="63"/>
      <c r="I144" s="63"/>
      <c r="J144" s="63"/>
      <c r="K144" s="63"/>
      <c r="L144" s="15" t="s">
        <v>25</v>
      </c>
      <c r="M144">
        <f t="shared" si="27"/>
        <v>0</v>
      </c>
    </row>
    <row r="145" customHeight="1" spans="1:13">
      <c r="A145" s="16"/>
      <c r="B145" s="13">
        <v>3</v>
      </c>
      <c r="C145" s="14" t="str">
        <f t="shared" ref="C145" si="29">IF(B145&lt;16,"0x0"&amp;DEC2HEX(B145),"0x"&amp;DEC2HEX(B145))</f>
        <v>0x03</v>
      </c>
      <c r="D145" s="63"/>
      <c r="E145" s="63"/>
      <c r="F145" s="63"/>
      <c r="G145" s="63"/>
      <c r="H145" s="63"/>
      <c r="I145" s="63"/>
      <c r="J145" s="63"/>
      <c r="K145" s="63"/>
      <c r="L145" s="15" t="s">
        <v>25</v>
      </c>
      <c r="M145">
        <f t="shared" si="27"/>
        <v>0</v>
      </c>
    </row>
    <row r="146" customHeight="1" spans="1:12">
      <c r="A146" s="16"/>
      <c r="B146" s="13" t="s">
        <v>120</v>
      </c>
      <c r="C146" s="14" t="s">
        <v>120</v>
      </c>
      <c r="D146" s="63"/>
      <c r="E146" s="63"/>
      <c r="F146" s="63"/>
      <c r="G146" s="63"/>
      <c r="H146" s="63"/>
      <c r="I146" s="63"/>
      <c r="J146" s="63"/>
      <c r="K146" s="63"/>
      <c r="L146" s="15" t="s">
        <v>25</v>
      </c>
    </row>
    <row r="147" customHeight="1" spans="1:13">
      <c r="A147" s="16"/>
      <c r="B147" s="13">
        <v>1020</v>
      </c>
      <c r="C147" s="14" t="str">
        <f t="shared" ref="C147:C161" si="30">IF(B147&lt;16,"0x0"&amp;DEC2HEX(B147),"0x"&amp;DEC2HEX(B147))</f>
        <v>0x3FC</v>
      </c>
      <c r="D147" s="63"/>
      <c r="E147" s="63"/>
      <c r="F147" s="63"/>
      <c r="G147" s="63"/>
      <c r="H147" s="63"/>
      <c r="I147" s="63"/>
      <c r="J147" s="63"/>
      <c r="K147" s="63"/>
      <c r="L147" s="15" t="s">
        <v>25</v>
      </c>
      <c r="M147">
        <f t="shared" si="27"/>
        <v>1</v>
      </c>
    </row>
    <row r="148" customHeight="1" spans="1:13">
      <c r="A148" s="16"/>
      <c r="B148" s="13">
        <v>1021</v>
      </c>
      <c r="C148" s="14" t="str">
        <f t="shared" si="30"/>
        <v>0x3FD</v>
      </c>
      <c r="D148" s="63"/>
      <c r="E148" s="63"/>
      <c r="F148" s="63"/>
      <c r="G148" s="63"/>
      <c r="H148" s="63"/>
      <c r="I148" s="63"/>
      <c r="J148" s="63"/>
      <c r="K148" s="63"/>
      <c r="L148" s="15" t="s">
        <v>25</v>
      </c>
      <c r="M148">
        <f t="shared" si="27"/>
        <v>0</v>
      </c>
    </row>
    <row r="149" customHeight="1" spans="1:13">
      <c r="A149" s="16"/>
      <c r="B149" s="13">
        <v>1022</v>
      </c>
      <c r="C149" s="14" t="str">
        <f t="shared" si="30"/>
        <v>0x3FE</v>
      </c>
      <c r="D149" s="63"/>
      <c r="E149" s="63"/>
      <c r="F149" s="63"/>
      <c r="G149" s="63"/>
      <c r="H149" s="63"/>
      <c r="I149" s="63"/>
      <c r="J149" s="63"/>
      <c r="K149" s="63"/>
      <c r="L149" s="15" t="s">
        <v>25</v>
      </c>
      <c r="M149">
        <f t="shared" si="27"/>
        <v>0</v>
      </c>
    </row>
    <row r="150" customHeight="1" spans="1:13">
      <c r="A150" s="16"/>
      <c r="B150" s="13">
        <v>1023</v>
      </c>
      <c r="C150" s="14" t="str">
        <f t="shared" si="30"/>
        <v>0x3FF</v>
      </c>
      <c r="D150" s="63"/>
      <c r="E150" s="63"/>
      <c r="F150" s="63"/>
      <c r="G150" s="63"/>
      <c r="H150" s="63"/>
      <c r="I150" s="63"/>
      <c r="J150" s="63"/>
      <c r="K150" s="63"/>
      <c r="L150" s="15" t="s">
        <v>25</v>
      </c>
      <c r="M150">
        <f t="shared" si="27"/>
        <v>0</v>
      </c>
    </row>
    <row r="151" customHeight="1" spans="1:13">
      <c r="A151" s="16">
        <v>12</v>
      </c>
      <c r="B151" s="51">
        <v>0</v>
      </c>
      <c r="C151" s="50" t="str">
        <f t="shared" si="30"/>
        <v>0x00</v>
      </c>
      <c r="D151" s="52" t="s">
        <v>115</v>
      </c>
      <c r="E151" s="53"/>
      <c r="F151" s="53"/>
      <c r="G151" s="53"/>
      <c r="H151" s="53"/>
      <c r="I151" s="53"/>
      <c r="J151" s="53"/>
      <c r="K151" s="60"/>
      <c r="L151" s="15" t="s">
        <v>25</v>
      </c>
      <c r="M151">
        <f t="shared" ref="M151:M165" si="31">IF(MOD(B151,4)=0,1,0)</f>
        <v>1</v>
      </c>
    </row>
    <row r="152" customHeight="1" spans="1:13">
      <c r="A152" s="16"/>
      <c r="B152" s="13">
        <v>1</v>
      </c>
      <c r="C152" s="50" t="str">
        <f t="shared" si="30"/>
        <v>0x01</v>
      </c>
      <c r="D152" s="52" t="s">
        <v>115</v>
      </c>
      <c r="E152" s="53"/>
      <c r="F152" s="53"/>
      <c r="G152" s="53"/>
      <c r="H152" s="53"/>
      <c r="I152" s="53"/>
      <c r="J152" s="53"/>
      <c r="K152" s="60"/>
      <c r="L152" s="15" t="s">
        <v>25</v>
      </c>
      <c r="M152">
        <f t="shared" si="31"/>
        <v>0</v>
      </c>
    </row>
    <row r="153" customHeight="1" spans="1:13">
      <c r="A153" s="16"/>
      <c r="B153" s="51">
        <v>2</v>
      </c>
      <c r="C153" s="50" t="str">
        <f t="shared" si="30"/>
        <v>0x02</v>
      </c>
      <c r="D153" s="52" t="s">
        <v>115</v>
      </c>
      <c r="E153" s="53"/>
      <c r="F153" s="53"/>
      <c r="G153" s="53"/>
      <c r="H153" s="53"/>
      <c r="I153" s="53"/>
      <c r="J153" s="53"/>
      <c r="K153" s="60"/>
      <c r="L153" s="15" t="s">
        <v>25</v>
      </c>
      <c r="M153">
        <f t="shared" si="31"/>
        <v>0</v>
      </c>
    </row>
    <row r="154" customHeight="1" spans="1:13">
      <c r="A154" s="16"/>
      <c r="B154" s="13">
        <v>3</v>
      </c>
      <c r="C154" s="50" t="str">
        <f t="shared" si="30"/>
        <v>0x03</v>
      </c>
      <c r="D154" s="52" t="s">
        <v>115</v>
      </c>
      <c r="E154" s="53"/>
      <c r="F154" s="53"/>
      <c r="G154" s="53"/>
      <c r="H154" s="53"/>
      <c r="I154" s="53"/>
      <c r="J154" s="53"/>
      <c r="K154" s="60"/>
      <c r="L154" s="15" t="s">
        <v>25</v>
      </c>
      <c r="M154">
        <f t="shared" si="31"/>
        <v>0</v>
      </c>
    </row>
    <row r="155" customHeight="1" spans="1:13">
      <c r="A155" s="16"/>
      <c r="B155" s="51">
        <v>4</v>
      </c>
      <c r="C155" s="50" t="str">
        <f t="shared" si="30"/>
        <v>0x04</v>
      </c>
      <c r="D155" s="52" t="s">
        <v>115</v>
      </c>
      <c r="E155" s="53"/>
      <c r="F155" s="53"/>
      <c r="G155" s="53"/>
      <c r="H155" s="53"/>
      <c r="I155" s="53"/>
      <c r="J155" s="53"/>
      <c r="K155" s="60"/>
      <c r="L155" s="15" t="s">
        <v>25</v>
      </c>
      <c r="M155">
        <f t="shared" si="31"/>
        <v>1</v>
      </c>
    </row>
    <row r="156" customHeight="1" spans="1:13">
      <c r="A156" s="16"/>
      <c r="B156" s="13">
        <v>5</v>
      </c>
      <c r="C156" s="50" t="str">
        <f t="shared" si="30"/>
        <v>0x05</v>
      </c>
      <c r="D156" s="52" t="s">
        <v>115</v>
      </c>
      <c r="E156" s="53"/>
      <c r="F156" s="53"/>
      <c r="G156" s="53"/>
      <c r="H156" s="53"/>
      <c r="I156" s="53"/>
      <c r="J156" s="53"/>
      <c r="K156" s="60"/>
      <c r="L156" s="15" t="s">
        <v>25</v>
      </c>
      <c r="M156">
        <f t="shared" si="31"/>
        <v>0</v>
      </c>
    </row>
    <row r="157" customHeight="1" spans="1:12">
      <c r="A157" s="16"/>
      <c r="B157" s="51" t="s">
        <v>120</v>
      </c>
      <c r="C157" s="64" t="s">
        <v>120</v>
      </c>
      <c r="D157" s="52" t="s">
        <v>115</v>
      </c>
      <c r="E157" s="53"/>
      <c r="F157" s="53"/>
      <c r="G157" s="53"/>
      <c r="H157" s="53"/>
      <c r="I157" s="53"/>
      <c r="J157" s="53"/>
      <c r="K157" s="60"/>
      <c r="L157" s="63" t="s">
        <v>120</v>
      </c>
    </row>
    <row r="158" customHeight="1" spans="1:13">
      <c r="A158" s="16"/>
      <c r="B158" s="13">
        <v>28</v>
      </c>
      <c r="C158" s="50" t="str">
        <f t="shared" si="30"/>
        <v>0x1C</v>
      </c>
      <c r="D158" s="52" t="s">
        <v>115</v>
      </c>
      <c r="E158" s="53"/>
      <c r="F158" s="53"/>
      <c r="G158" s="53"/>
      <c r="H158" s="53"/>
      <c r="I158" s="53"/>
      <c r="J158" s="53"/>
      <c r="K158" s="60"/>
      <c r="L158" s="15" t="s">
        <v>25</v>
      </c>
      <c r="M158">
        <f t="shared" si="31"/>
        <v>1</v>
      </c>
    </row>
    <row r="159" customHeight="1" spans="1:13">
      <c r="A159" s="16"/>
      <c r="B159" s="13">
        <v>29</v>
      </c>
      <c r="C159" s="50" t="str">
        <f t="shared" si="30"/>
        <v>0x1D</v>
      </c>
      <c r="D159" s="52" t="s">
        <v>115</v>
      </c>
      <c r="E159" s="53"/>
      <c r="F159" s="53"/>
      <c r="G159" s="53"/>
      <c r="H159" s="53"/>
      <c r="I159" s="53"/>
      <c r="J159" s="53"/>
      <c r="K159" s="60"/>
      <c r="L159" s="15" t="s">
        <v>25</v>
      </c>
      <c r="M159">
        <f t="shared" si="31"/>
        <v>0</v>
      </c>
    </row>
    <row r="160" customHeight="1" spans="1:13">
      <c r="A160" s="16"/>
      <c r="B160" s="13">
        <v>30</v>
      </c>
      <c r="C160" s="50" t="str">
        <f t="shared" si="30"/>
        <v>0x1E</v>
      </c>
      <c r="D160" s="52" t="s">
        <v>115</v>
      </c>
      <c r="E160" s="53"/>
      <c r="F160" s="53"/>
      <c r="G160" s="53"/>
      <c r="H160" s="53"/>
      <c r="I160" s="53"/>
      <c r="J160" s="53"/>
      <c r="K160" s="60"/>
      <c r="L160" s="15" t="s">
        <v>25</v>
      </c>
      <c r="M160">
        <f t="shared" si="31"/>
        <v>0</v>
      </c>
    </row>
    <row r="161" customHeight="1" spans="1:13">
      <c r="A161" s="16"/>
      <c r="B161" s="13">
        <v>31</v>
      </c>
      <c r="C161" s="50" t="str">
        <f t="shared" si="30"/>
        <v>0x1F</v>
      </c>
      <c r="D161" s="52" t="s">
        <v>115</v>
      </c>
      <c r="E161" s="53"/>
      <c r="F161" s="53"/>
      <c r="G161" s="53"/>
      <c r="H161" s="53"/>
      <c r="I161" s="53"/>
      <c r="J161" s="53"/>
      <c r="K161" s="60"/>
      <c r="L161" s="15" t="s">
        <v>25</v>
      </c>
      <c r="M161">
        <f t="shared" si="31"/>
        <v>0</v>
      </c>
    </row>
    <row r="162" customHeight="1" spans="1:13">
      <c r="A162" s="16"/>
      <c r="B162" s="13">
        <v>32</v>
      </c>
      <c r="C162" s="50" t="str">
        <f t="shared" ref="C162" si="32">IF(B162&lt;16,"0x0"&amp;DEC2HEX(B162),"0x"&amp;DEC2HEX(B162))</f>
        <v>0x20</v>
      </c>
      <c r="D162" s="52" t="s">
        <v>115</v>
      </c>
      <c r="E162" s="53"/>
      <c r="F162" s="53"/>
      <c r="G162" s="53"/>
      <c r="H162" s="53"/>
      <c r="I162" s="53"/>
      <c r="J162" s="53"/>
      <c r="K162" s="60"/>
      <c r="L162" s="15" t="s">
        <v>25</v>
      </c>
      <c r="M162">
        <f t="shared" si="31"/>
        <v>1</v>
      </c>
    </row>
    <row r="163" customHeight="1" spans="1:12">
      <c r="A163" s="16"/>
      <c r="B163" s="51" t="s">
        <v>120</v>
      </c>
      <c r="C163" s="64" t="s">
        <v>120</v>
      </c>
      <c r="D163" s="65" t="s">
        <v>120</v>
      </c>
      <c r="E163" s="65"/>
      <c r="F163" s="65"/>
      <c r="G163" s="65"/>
      <c r="H163" s="65"/>
      <c r="I163" s="65"/>
      <c r="J163" s="65"/>
      <c r="K163" s="65"/>
      <c r="L163" s="63" t="s">
        <v>120</v>
      </c>
    </row>
    <row r="164" customHeight="1" spans="1:13">
      <c r="A164" s="16"/>
      <c r="B164" s="13">
        <v>127</v>
      </c>
      <c r="C164" s="50" t="str">
        <f t="shared" ref="C164" si="33">IF(B164&lt;16,"0x0"&amp;DEC2HEX(B164),"0x"&amp;DEC2HEX(B164))</f>
        <v>0x7F</v>
      </c>
      <c r="D164" s="52" t="s">
        <v>115</v>
      </c>
      <c r="E164" s="53"/>
      <c r="F164" s="53"/>
      <c r="G164" s="53"/>
      <c r="H164" s="53"/>
      <c r="I164" s="53"/>
      <c r="J164" s="53"/>
      <c r="K164" s="60"/>
      <c r="L164" s="15" t="s">
        <v>25</v>
      </c>
      <c r="M164">
        <f t="shared" si="31"/>
        <v>0</v>
      </c>
    </row>
    <row r="165" customHeight="1" spans="1:13">
      <c r="A165" s="66" t="s">
        <v>126</v>
      </c>
      <c r="B165" s="67"/>
      <c r="D165" s="68" t="s">
        <v>115</v>
      </c>
      <c r="E165" s="68"/>
      <c r="F165" s="68"/>
      <c r="G165" s="68"/>
      <c r="H165" s="68"/>
      <c r="I165" s="68"/>
      <c r="J165" s="68"/>
      <c r="K165" s="68"/>
      <c r="M165">
        <f t="shared" si="31"/>
        <v>1</v>
      </c>
    </row>
    <row r="166" customHeight="1" spans="1:1">
      <c r="A166" s="66"/>
    </row>
    <row r="167" spans="1:1">
      <c r="A167" s="66"/>
    </row>
    <row r="168" ht="28.5" spans="1:2">
      <c r="A168" s="69" t="s">
        <v>1</v>
      </c>
      <c r="B168" s="69" t="s">
        <v>127</v>
      </c>
    </row>
    <row r="169" spans="1:2">
      <c r="A169" s="69">
        <v>16</v>
      </c>
      <c r="B169" s="70">
        <v>2</v>
      </c>
    </row>
    <row r="170" spans="1:2">
      <c r="A170" s="70">
        <v>17</v>
      </c>
      <c r="B170" s="70">
        <v>3</v>
      </c>
    </row>
    <row r="171" spans="1:2">
      <c r="A171" s="69">
        <v>18</v>
      </c>
      <c r="B171" s="70">
        <v>4</v>
      </c>
    </row>
    <row r="172" spans="1:2">
      <c r="A172" s="70">
        <v>19</v>
      </c>
      <c r="B172" s="70">
        <v>5</v>
      </c>
    </row>
    <row r="173" spans="1:2">
      <c r="A173" s="69">
        <v>20</v>
      </c>
      <c r="B173" s="70">
        <v>6</v>
      </c>
    </row>
    <row r="174" spans="1:2">
      <c r="A174" s="70" t="s">
        <v>128</v>
      </c>
      <c r="B174" s="70" t="s">
        <v>128</v>
      </c>
    </row>
    <row r="175" spans="1:2">
      <c r="A175" s="70">
        <v>31</v>
      </c>
      <c r="B175" s="70">
        <v>17</v>
      </c>
    </row>
  </sheetData>
  <mergeCells count="142">
    <mergeCell ref="B2:C2"/>
    <mergeCell ref="D2:K2"/>
    <mergeCell ref="D10:K10"/>
    <mergeCell ref="D11:K11"/>
    <mergeCell ref="D12:K12"/>
    <mergeCell ref="D13:K13"/>
    <mergeCell ref="D14:K14"/>
    <mergeCell ref="D15:K15"/>
    <mergeCell ref="D16:K16"/>
    <mergeCell ref="D17:K17"/>
    <mergeCell ref="D18:K18"/>
    <mergeCell ref="D19:K19"/>
    <mergeCell ref="D20:K20"/>
    <mergeCell ref="D21:K21"/>
    <mergeCell ref="D22:K22"/>
    <mergeCell ref="D23:K23"/>
    <mergeCell ref="D24:K24"/>
    <mergeCell ref="D25:K25"/>
    <mergeCell ref="D26:K26"/>
    <mergeCell ref="D27:K27"/>
    <mergeCell ref="D28:K28"/>
    <mergeCell ref="D29:K29"/>
    <mergeCell ref="D30:K30"/>
    <mergeCell ref="D31:K31"/>
    <mergeCell ref="D32:K32"/>
    <mergeCell ref="D33:K33"/>
    <mergeCell ref="D34:K34"/>
    <mergeCell ref="D35:K35"/>
    <mergeCell ref="D36:K36"/>
    <mergeCell ref="D37:K37"/>
    <mergeCell ref="D38:K38"/>
    <mergeCell ref="D39:K39"/>
    <mergeCell ref="D40:K40"/>
    <mergeCell ref="D41:K41"/>
    <mergeCell ref="D42:K42"/>
    <mergeCell ref="D43:K43"/>
    <mergeCell ref="D44:K44"/>
    <mergeCell ref="D45:K45"/>
    <mergeCell ref="D46:K46"/>
    <mergeCell ref="D47:K47"/>
    <mergeCell ref="D48:K48"/>
    <mergeCell ref="D49:K49"/>
    <mergeCell ref="D50:K50"/>
    <mergeCell ref="D51:K51"/>
    <mergeCell ref="D52:K52"/>
    <mergeCell ref="D53:K53"/>
    <mergeCell ref="D54:K54"/>
    <mergeCell ref="D55:K55"/>
    <mergeCell ref="D56:K56"/>
    <mergeCell ref="D57:K57"/>
    <mergeCell ref="D58:K58"/>
    <mergeCell ref="D59:K59"/>
    <mergeCell ref="D60:K60"/>
    <mergeCell ref="D61:K61"/>
    <mergeCell ref="D62:K62"/>
    <mergeCell ref="D63:K63"/>
    <mergeCell ref="D65:K65"/>
    <mergeCell ref="D66:K66"/>
    <mergeCell ref="D67:K67"/>
    <mergeCell ref="B72:C72"/>
    <mergeCell ref="D72:K72"/>
    <mergeCell ref="D74:K74"/>
    <mergeCell ref="D78:K78"/>
    <mergeCell ref="D79:K79"/>
    <mergeCell ref="D80:K80"/>
    <mergeCell ref="D81:K81"/>
    <mergeCell ref="D82:K82"/>
    <mergeCell ref="D83:K83"/>
    <mergeCell ref="D84:K84"/>
    <mergeCell ref="D85:K85"/>
    <mergeCell ref="D86:K86"/>
    <mergeCell ref="D87:K87"/>
    <mergeCell ref="D88:K88"/>
    <mergeCell ref="D89:K89"/>
    <mergeCell ref="D90:K90"/>
    <mergeCell ref="D91:K91"/>
    <mergeCell ref="D92:K92"/>
    <mergeCell ref="D93:K93"/>
    <mergeCell ref="D94:K94"/>
    <mergeCell ref="D95:K95"/>
    <mergeCell ref="D96:K96"/>
    <mergeCell ref="D97:K97"/>
    <mergeCell ref="D98:K98"/>
    <mergeCell ref="D99:K99"/>
    <mergeCell ref="D100:K100"/>
    <mergeCell ref="D101:K101"/>
    <mergeCell ref="D102:K102"/>
    <mergeCell ref="D103:K103"/>
    <mergeCell ref="D104:K104"/>
    <mergeCell ref="D105:K105"/>
    <mergeCell ref="D106:K106"/>
    <mergeCell ref="D107:K107"/>
    <mergeCell ref="D108:K108"/>
    <mergeCell ref="D109:K109"/>
    <mergeCell ref="D110:K110"/>
    <mergeCell ref="D111:K111"/>
    <mergeCell ref="D112:K112"/>
    <mergeCell ref="D113:K113"/>
    <mergeCell ref="D114:K114"/>
    <mergeCell ref="D115:K115"/>
    <mergeCell ref="D116:K116"/>
    <mergeCell ref="D117:K117"/>
    <mergeCell ref="D118:K118"/>
    <mergeCell ref="D125:K125"/>
    <mergeCell ref="D126:K126"/>
    <mergeCell ref="B140:C140"/>
    <mergeCell ref="D140:K140"/>
    <mergeCell ref="D142:K142"/>
    <mergeCell ref="D143:K143"/>
    <mergeCell ref="D144:K144"/>
    <mergeCell ref="D145:K145"/>
    <mergeCell ref="D146:K146"/>
    <mergeCell ref="D147:K147"/>
    <mergeCell ref="D148:K148"/>
    <mergeCell ref="D149:K149"/>
    <mergeCell ref="D150:K150"/>
    <mergeCell ref="D151:K151"/>
    <mergeCell ref="D152:K152"/>
    <mergeCell ref="D153:K153"/>
    <mergeCell ref="D154:K154"/>
    <mergeCell ref="D155:K155"/>
    <mergeCell ref="D156:K156"/>
    <mergeCell ref="D157:K157"/>
    <mergeCell ref="D158:K158"/>
    <mergeCell ref="D159:K159"/>
    <mergeCell ref="D160:K160"/>
    <mergeCell ref="D161:K161"/>
    <mergeCell ref="D162:K162"/>
    <mergeCell ref="D163:K163"/>
    <mergeCell ref="D164:K164"/>
    <mergeCell ref="D165:K165"/>
    <mergeCell ref="A2:A3"/>
    <mergeCell ref="A4:A67"/>
    <mergeCell ref="A72:A73"/>
    <mergeCell ref="A74:A126"/>
    <mergeCell ref="A140:A141"/>
    <mergeCell ref="A142:A150"/>
    <mergeCell ref="A151:A164"/>
    <mergeCell ref="L2:L3"/>
    <mergeCell ref="L72:L73"/>
    <mergeCell ref="L140:L141"/>
    <mergeCell ref="M2:M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zoomScale="160" zoomScaleNormal="160" workbookViewId="0">
      <selection activeCell="D33" sqref="D33:K33"/>
    </sheetView>
  </sheetViews>
  <sheetFormatPr defaultColWidth="9" defaultRowHeight="14.25" outlineLevelCol="5"/>
  <cols>
    <col min="6" max="6" width="35.125" customWidth="1"/>
  </cols>
  <sheetData>
    <row r="1" spans="1:6">
      <c r="A1" s="1" t="s">
        <v>129</v>
      </c>
      <c r="B1" s="1"/>
      <c r="C1" s="1"/>
      <c r="D1" s="1"/>
      <c r="E1" s="1"/>
      <c r="F1" s="1"/>
    </row>
    <row r="2" spans="1:6">
      <c r="A2" s="2" t="s">
        <v>130</v>
      </c>
      <c r="B2" s="3"/>
      <c r="C2" s="3"/>
      <c r="D2" s="3"/>
      <c r="E2" s="3"/>
      <c r="F2" s="3"/>
    </row>
    <row r="3" spans="1:6">
      <c r="A3" s="3"/>
      <c r="B3" s="3"/>
      <c r="C3" s="3"/>
      <c r="D3" s="3"/>
      <c r="E3" s="3"/>
      <c r="F3" s="3"/>
    </row>
    <row r="4" spans="1:6">
      <c r="A4" s="3"/>
      <c r="B4" s="3"/>
      <c r="C4" s="3"/>
      <c r="D4" s="3"/>
      <c r="E4" s="3"/>
      <c r="F4" s="3"/>
    </row>
    <row r="5" spans="1:6">
      <c r="A5" s="3"/>
      <c r="B5" s="3"/>
      <c r="C5" s="3"/>
      <c r="D5" s="3"/>
      <c r="E5" s="3"/>
      <c r="F5" s="3"/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ht="147.75" customHeight="1" spans="1:6">
      <c r="A9" s="3"/>
      <c r="B9" s="3"/>
      <c r="C9" s="3"/>
      <c r="D9" s="3"/>
      <c r="E9" s="3"/>
      <c r="F9" s="3"/>
    </row>
  </sheetData>
  <mergeCells count="2">
    <mergeCell ref="A1:F1"/>
    <mergeCell ref="A2:F9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eeprom区域划分映射</vt:lpstr>
      <vt:lpstr>详细映射关系</vt:lpstr>
      <vt:lpstr>eeprom操作指令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WPS_1724833129</cp:lastModifiedBy>
  <dcterms:created xsi:type="dcterms:W3CDTF">2015-06-05T18:19:00Z</dcterms:created>
  <dcterms:modified xsi:type="dcterms:W3CDTF">2024-11-11T08:45:17Z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BBED8490F64645158F7C63D9419BD7C7_12</vt:lpwstr>
  </property>
  <property fmtid="{D5CDD505-2E9C-101B-9397-08002B2CF9AE}" pid="3" name="KSOProductBuildVer">
    <vt:lpwstr>2052-12.1.0.18608</vt:lpwstr>
  </property>
</Properties>
</file>